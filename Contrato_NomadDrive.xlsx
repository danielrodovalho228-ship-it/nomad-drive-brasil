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 Locacao" sheetId="1" state="visible" r:id="rId1"/>
    <sheet name="Rental Contract (EN)" sheetId="2" state="visible" r:id="rId2"/>
    <sheet name="Contrato Alquiler (ES)" sheetId="3" state="visible" r:id="rId3"/>
    <sheet name="Recibo de Caucao" sheetId="4" state="visible" r:id="rId4"/>
    <sheet name="Adesao a Rede" sheetId="5" state="visible" r:id="rId5"/>
    <sheet name="Simulacao Repasse" sheetId="6" state="visible" r:id="rId6"/>
    <sheet name="Vistoria + Anex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R$ #,##0.00;[Red](R$ #,##0.00)"/>
    <numFmt numFmtId="166" formatCode="0.0%"/>
    <numFmt numFmtId="167" formatCode="0.0 &quot;meses/ano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A3A3A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b val="1"/>
      <color rgb="00000000"/>
      <sz val="11"/>
    </font>
    <font>
      <name val="Arial"/>
      <b val="1"/>
      <color rgb="002A1B00"/>
      <sz val="12"/>
    </font>
    <font>
      <name val="Arial"/>
      <b val="1"/>
      <color rgb="00A24A00"/>
      <sz val="10"/>
    </font>
  </fonts>
  <fills count="8">
    <fill>
      <patternFill/>
    </fill>
    <fill>
      <patternFill patternType="gray125"/>
    </fill>
    <fill>
      <patternFill patternType="solid">
        <fgColor rgb="000F241D"/>
      </patternFill>
    </fill>
    <fill>
      <patternFill patternType="solid">
        <fgColor rgb="001F9D6E"/>
      </patternFill>
    </fill>
    <fill>
      <patternFill patternType="solid">
        <fgColor rgb="00FFF2CC"/>
      </patternFill>
    </fill>
    <fill>
      <patternFill patternType="solid">
        <fgColor rgb="00FCE9C8"/>
      </patternFill>
    </fill>
    <fill>
      <patternFill patternType="solid">
        <fgColor rgb="00FFF4E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165" fontId="8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166" fontId="5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vertical="center" wrapText="1"/>
    </xf>
    <xf numFmtId="165" fontId="7" fillId="7" borderId="1" applyAlignment="1" pivotButton="0" quotePrefix="0" xfId="0">
      <alignment horizontal="right" vertical="center"/>
    </xf>
    <xf numFmtId="167" fontId="7" fillId="7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CONTRATO DE LOCACAO MENSAL  -  NomadDrive Brasil</t>
        </is>
      </c>
      <c r="C1" s="2" t="n"/>
      <c r="D1" s="2" t="n"/>
    </row>
    <row r="2" ht="24" customHeight="1">
      <c r="B2" s="3" t="inlineStr">
        <is>
          <t>Contrato no _____ | Data: __/__/____ | Modelo padrao - preencher apos acerto via WhatsApp.</t>
        </is>
      </c>
    </row>
    <row r="4" ht="22" customHeight="1">
      <c r="B4" s="4" t="inlineStr">
        <is>
          <t>1.  LOCATARIO (cliente)</t>
        </is>
      </c>
      <c r="C4" s="5" t="n"/>
      <c r="D4" s="5" t="n"/>
    </row>
    <row r="5" ht="24" customHeight="1">
      <c r="B5" s="6" t="inlineStr">
        <is>
          <t>Nome completo</t>
        </is>
      </c>
      <c r="C5" s="7" t="inlineStr"/>
    </row>
    <row r="6" ht="24" customHeight="1">
      <c r="B6" s="6" t="inlineStr">
        <is>
          <t>Documento (CPF / Passaporte)</t>
        </is>
      </c>
      <c r="C6" s="7" t="inlineStr"/>
      <c r="D6" s="8" t="inlineStr">
        <is>
          <t>Brasileiro: CPF. Estrangeiro: passaporte</t>
        </is>
      </c>
    </row>
    <row r="7" ht="24" customHeight="1">
      <c r="B7" s="6" t="inlineStr">
        <is>
          <t>CNH - numero</t>
        </is>
      </c>
      <c r="C7" s="7" t="inlineStr"/>
    </row>
    <row r="8" ht="24" customHeight="1">
      <c r="B8" s="6" t="inlineStr">
        <is>
          <t>CNH - validade</t>
        </is>
      </c>
      <c r="C8" s="7" t="inlineStr"/>
      <c r="D8" s="8" t="inlineStr">
        <is>
          <t>dd/mm/yyyy</t>
        </is>
      </c>
    </row>
    <row r="9" ht="24" customHeight="1">
      <c r="B9" s="6" t="inlineStr">
        <is>
          <t>CNH - pais de emissao</t>
        </is>
      </c>
      <c r="C9" s="7" t="inlineStr"/>
      <c r="D9" s="8" t="inlineStr">
        <is>
          <t>Estrangeiro: pode exigir PID (Permissao Internacional)</t>
        </is>
      </c>
    </row>
    <row r="10" ht="24" customHeight="1">
      <c r="B10" s="6" t="inlineStr">
        <is>
          <t>Nacionalidade</t>
        </is>
      </c>
      <c r="C10" s="7" t="inlineStr"/>
    </row>
    <row r="11" ht="24" customHeight="1">
      <c r="B11" s="6" t="inlineStr">
        <is>
          <t>Endereco completo</t>
        </is>
      </c>
      <c r="C11" s="7" t="inlineStr"/>
    </row>
    <row r="12" ht="24" customHeight="1">
      <c r="B12" s="6" t="inlineStr">
        <is>
          <t>Telefone / WhatsApp (com DDI)</t>
        </is>
      </c>
      <c r="C12" s="7" t="inlineStr"/>
    </row>
    <row r="13" ht="24" customHeight="1">
      <c r="B13" s="6" t="inlineStr">
        <is>
          <t>E-mail</t>
        </is>
      </c>
      <c r="C13" s="7" t="inlineStr"/>
    </row>
    <row r="14" ht="24" customHeight="1">
      <c r="B14" s="6" t="inlineStr">
        <is>
          <t>Indicado por</t>
        </is>
      </c>
      <c r="C14" s="7" t="inlineStr"/>
      <c r="D14" s="8" t="inlineStr">
        <is>
          <t>Nome da pessoa que indicou (referral)</t>
        </is>
      </c>
    </row>
    <row r="15" ht="6" customHeight="1"/>
    <row r="16" ht="22" customHeight="1">
      <c r="B16" s="4" t="inlineStr">
        <is>
          <t>2.  VEICULO</t>
        </is>
      </c>
      <c r="C16" s="5" t="n"/>
      <c r="D16" s="5" t="n"/>
    </row>
    <row r="17" ht="24" customHeight="1">
      <c r="B17" s="6" t="inlineStr">
        <is>
          <t>Marca / Modelo / Versao</t>
        </is>
      </c>
      <c r="C17" s="7" t="inlineStr">
        <is>
          <t>Chevrolet Cobalt Elite</t>
        </is>
      </c>
    </row>
    <row r="18" ht="24" customHeight="1">
      <c r="B18" s="6" t="inlineStr">
        <is>
          <t>Ano / Fabricacao</t>
        </is>
      </c>
      <c r="C18" s="7" t="inlineStr">
        <is>
          <t>2018</t>
        </is>
      </c>
    </row>
    <row r="19" ht="24" customHeight="1">
      <c r="B19" s="6" t="inlineStr">
        <is>
          <t>Cor</t>
        </is>
      </c>
      <c r="C19" s="7" t="inlineStr">
        <is>
          <t>Branco</t>
        </is>
      </c>
    </row>
    <row r="20" ht="24" customHeight="1">
      <c r="B20" s="6" t="inlineStr">
        <is>
          <t>Placa</t>
        </is>
      </c>
      <c r="C20" s="7" t="inlineStr"/>
    </row>
    <row r="21" ht="24" customHeight="1">
      <c r="B21" s="6" t="inlineStr">
        <is>
          <t>Chassi</t>
        </is>
      </c>
      <c r="C21" s="7" t="inlineStr"/>
    </row>
    <row r="22" ht="24" customHeight="1">
      <c r="B22" s="6" t="inlineStr">
        <is>
          <t>Renavam</t>
        </is>
      </c>
      <c r="C22" s="7" t="inlineStr"/>
    </row>
    <row r="23" ht="24" customHeight="1">
      <c r="B23" s="6" t="inlineStr">
        <is>
          <t>Categoria NomadDrive</t>
        </is>
      </c>
      <c r="C23" s="7" t="inlineStr">
        <is>
          <t>Categoria B - Confort</t>
        </is>
      </c>
    </row>
    <row r="24" ht="6" customHeight="1"/>
    <row r="25" ht="22" customHeight="1">
      <c r="B25" s="4" t="inlineStr">
        <is>
          <t>3.  PERIODO E LOCAL</t>
        </is>
      </c>
      <c r="C25" s="5" t="n"/>
      <c r="D25" s="5" t="n"/>
    </row>
    <row r="26" ht="24" customHeight="1">
      <c r="B26" s="6" t="inlineStr">
        <is>
          <t>Data de retirada</t>
        </is>
      </c>
      <c r="C26" s="9" t="inlineStr"/>
    </row>
    <row r="27" ht="24" customHeight="1">
      <c r="B27" s="6" t="inlineStr">
        <is>
          <t>Data de devolucao</t>
        </is>
      </c>
      <c r="C27" s="9" t="inlineStr"/>
    </row>
    <row r="28" ht="24" customHeight="1">
      <c r="B28" s="6" t="inlineStr">
        <is>
          <t>Local de retirada</t>
        </is>
      </c>
      <c r="C28" s="7" t="inlineStr"/>
      <c r="D28" s="8" t="inlineStr">
        <is>
          <t>Endereco completo</t>
        </is>
      </c>
    </row>
    <row r="29" ht="24" customHeight="1">
      <c r="B29" s="6" t="inlineStr">
        <is>
          <t>Local de devolucao</t>
        </is>
      </c>
      <c r="C29" s="7" t="inlineStr"/>
    </row>
    <row r="30" ht="6" customHeight="1"/>
    <row r="31" ht="22" customHeight="1">
      <c r="B31" s="4" t="inlineStr">
        <is>
          <t>4.  VALORES E PAGAMENTO</t>
        </is>
      </c>
      <c r="C31" s="5" t="n"/>
      <c r="D31" s="5" t="n"/>
    </row>
    <row r="32" ht="24" customHeight="1">
      <c r="B32" s="6" t="inlineStr">
        <is>
          <t>Preco mensal acordado</t>
        </is>
      </c>
      <c r="C32" s="10" t="n">
        <v>3000</v>
      </c>
    </row>
    <row r="33" ht="24" customHeight="1">
      <c r="B33" s="6" t="inlineStr">
        <is>
          <t>Numero de meses</t>
        </is>
      </c>
      <c r="C33" s="7" t="n">
        <v>2</v>
      </c>
    </row>
    <row r="34" ht="24" customHeight="1">
      <c r="B34" s="11" t="inlineStr">
        <is>
          <t>TOTAL DA LOCACAO</t>
        </is>
      </c>
      <c r="C34" s="12">
        <f>C32*C33</f>
        <v/>
      </c>
    </row>
    <row r="35" ht="24" customHeight="1">
      <c r="B35" s="6" t="inlineStr">
        <is>
          <t>Caucao (reembolsavel)</t>
        </is>
      </c>
      <c r="C35" s="10" t="n">
        <v>2000</v>
      </c>
      <c r="D35" s="8" t="inlineStr">
        <is>
          <t>Devolvida em ate 7 dias apos vistoria final</t>
        </is>
      </c>
    </row>
    <row r="36" ht="24" customHeight="1">
      <c r="B36" s="6" t="inlineStr">
        <is>
          <t>Forma de pagamento</t>
        </is>
      </c>
      <c r="C36" s="7" t="inlineStr">
        <is>
          <t>PIX</t>
        </is>
      </c>
      <c r="D36" s="8" t="inlineStr">
        <is>
          <t>PIX / transferencia / cartao</t>
        </is>
      </c>
    </row>
    <row r="37" ht="24" customHeight="1">
      <c r="B37" s="6" t="inlineStr">
        <is>
          <t>Data do pagamento</t>
        </is>
      </c>
      <c r="C37" s="9" t="inlineStr"/>
    </row>
    <row r="38" ht="6" customHeight="1"/>
    <row r="39" ht="22" customHeight="1">
      <c r="B39" s="4" t="inlineStr">
        <is>
          <t>5.  QUILOMETRAGEM</t>
        </is>
      </c>
      <c r="C39" s="5" t="n"/>
      <c r="D39" s="5" t="n"/>
    </row>
    <row r="40" ht="24" customHeight="1">
      <c r="B40" s="6" t="inlineStr">
        <is>
          <t>Franquia mensal</t>
        </is>
      </c>
      <c r="C40" s="7" t="inlineStr">
        <is>
          <t>3.000 km/mes</t>
        </is>
      </c>
      <c r="D40" s="8" t="inlineStr">
        <is>
          <t>Equivalente a 100 km/dia - uso pessoal tranquilo</t>
        </is>
      </c>
    </row>
    <row r="41" ht="24" customHeight="1">
      <c r="B41" s="6" t="inlineStr">
        <is>
          <t>Excedente</t>
        </is>
      </c>
      <c r="C41" s="7" t="inlineStr">
        <is>
          <t>R$ 0,50 / km</t>
        </is>
      </c>
      <c r="D41" s="8" t="inlineStr">
        <is>
          <t>Cobrado apos o teto mensal</t>
        </is>
      </c>
    </row>
    <row r="42" ht="24" customHeight="1">
      <c r="B42" s="6" t="inlineStr">
        <is>
          <t>Uso PROIBIDO</t>
        </is>
      </c>
      <c r="C42" s="7" t="inlineStr">
        <is>
          <t>Uber/99, Indriver, off-road, comercial, racha</t>
        </is>
      </c>
      <c r="D42" s="8" t="inlineStr">
        <is>
          <t>Quebra de contrato + perda da caucao</t>
        </is>
      </c>
    </row>
    <row r="43" ht="24" customHeight="1">
      <c r="B43" s="6" t="inlineStr">
        <is>
          <t>KM inicial (na vistoria de retirada)</t>
        </is>
      </c>
      <c r="C43" s="7" t="inlineStr"/>
      <c r="D43" s="8" t="inlineStr">
        <is>
          <t>Anotar e fotografar o odometro</t>
        </is>
      </c>
    </row>
    <row r="44" ht="24" customHeight="1">
      <c r="B44" s="6" t="inlineStr">
        <is>
          <t>KM final (na vistoria de devolucao)</t>
        </is>
      </c>
      <c r="C44" s="7" t="inlineStr"/>
    </row>
    <row r="45" ht="6" customHeight="1"/>
    <row r="46" ht="22" customHeight="1">
      <c r="B46" s="4" t="inlineStr">
        <is>
          <t>6.  RESPONSABILIDADES DO LOCATARIO</t>
        </is>
      </c>
      <c r="C46" s="5" t="n"/>
      <c r="D46" s="5" t="n"/>
    </row>
    <row r="47" ht="26" customHeight="1">
      <c r="B47" s="6" t="inlineStr">
        <is>
          <t>•  Devolver o carro nas mesmas condicoes da retirada (lavagem inclusa no contrato - so devolver limpo no exterior)</t>
        </is>
      </c>
    </row>
    <row r="48" ht="26" customHeight="1">
      <c r="B48" s="6" t="inlineStr">
        <is>
          <t>•  Combustivel: devolver no mesmo nivel em que recebeu</t>
        </is>
      </c>
    </row>
    <row r="49" ht="26" customHeight="1">
      <c r="B49" s="6" t="inlineStr">
        <is>
          <t>•  Pedagios e multas durante o periodo sao por conta do locatario</t>
        </is>
      </c>
    </row>
    <row r="50" ht="26" customHeight="1">
      <c r="B50" s="6" t="inlineStr">
        <is>
          <t>•  Pequenos reparos do uso (lampadas, pneu furado por prego, etc.) - por conta do locatario</t>
        </is>
      </c>
    </row>
    <row r="51" ht="26" customHeight="1">
      <c r="B51" s="6" t="inlineStr">
        <is>
          <t>•  Comunicar imediatamente acidente, pane ou roubo</t>
        </is>
      </c>
    </row>
    <row r="52" ht="26" customHeight="1">
      <c r="B52" s="6" t="inlineStr">
        <is>
          <t>•  Manter quilometragem dentro da franquia (item 5)</t>
        </is>
      </c>
    </row>
    <row r="53" ht="26" customHeight="1">
      <c r="B53" s="6" t="inlineStr">
        <is>
          <t>•  Nao emprestar o carro a terceiros nao cadastrados neste contrato</t>
        </is>
      </c>
    </row>
    <row r="54" ht="26" customHeight="1">
      <c r="B54" s="6" t="inlineStr">
        <is>
          <t>•  Nao usar o veiculo para atividades proibidas (item 5)</t>
        </is>
      </c>
    </row>
    <row r="55" ht="6" customHeight="1"/>
    <row r="56" ht="22" customHeight="1">
      <c r="B56" s="4" t="inlineStr">
        <is>
          <t>7.  RESPONSABILIDADES DA NOMADDRIVE / PROPRIETARIO</t>
        </is>
      </c>
      <c r="C56" s="5" t="n"/>
      <c r="D56" s="5" t="n"/>
    </row>
    <row r="57" ht="26" customHeight="1">
      <c r="B57" s="6" t="inlineStr">
        <is>
          <t>•  Entregar o veiculo em perfeitas condicoes de uso, com documentacao em dia (IPVA, licenciamento, seguro)</t>
        </is>
      </c>
    </row>
    <row r="58" ht="26" customHeight="1">
      <c r="B58" s="6" t="inlineStr">
        <is>
          <t>•  Seguro com cobertura adequada para uso em locacao</t>
        </is>
      </c>
    </row>
    <row r="59" ht="26" customHeight="1">
      <c r="B59" s="6" t="inlineStr">
        <is>
          <t>•  Carro reserva em caso de pane mecanica sem culpa do locatario</t>
        </is>
      </c>
    </row>
    <row r="60" ht="26" customHeight="1">
      <c r="B60" s="6" t="inlineStr">
        <is>
          <t>•  Suporte por WhatsApp durante toda a locacao</t>
        </is>
      </c>
    </row>
    <row r="61" ht="26" customHeight="1">
      <c r="B61" s="6" t="inlineStr">
        <is>
          <t>•  Devolver a caucao em ate 7 dias apos a vistoria final, descontando apenas danos comprovados</t>
        </is>
      </c>
    </row>
    <row r="62" ht="26" customHeight="1">
      <c r="B62" s="6" t="inlineStr">
        <is>
          <t>•  Lavagem inclusa no contrato - devolvida limpa para a proxima locacao</t>
        </is>
      </c>
    </row>
    <row r="63" ht="6" customHeight="1"/>
    <row r="64" ht="22" customHeight="1">
      <c r="B64" s="4" t="inlineStr">
        <is>
          <t>8.  SEGURO E SINISTROS</t>
        </is>
      </c>
      <c r="C64" s="5" t="n"/>
      <c r="D64" s="5" t="n"/>
    </row>
    <row r="65" ht="24" customHeight="1">
      <c r="B65" s="6" t="inlineStr">
        <is>
          <t>Seguradora</t>
        </is>
      </c>
      <c r="C65" s="7" t="inlineStr"/>
      <c r="D65" s="8" t="inlineStr">
        <is>
          <t>Preencher: nome da seguradora e numero da apolice</t>
        </is>
      </c>
    </row>
    <row r="66" ht="24" customHeight="1">
      <c r="B66" s="6" t="inlineStr">
        <is>
          <t>Cobertura</t>
        </is>
      </c>
      <c r="C66" s="7" t="inlineStr">
        <is>
          <t>Casco, terceiros, APP</t>
        </is>
      </c>
    </row>
    <row r="67" ht="24" customHeight="1">
      <c r="B67" s="6" t="inlineStr">
        <is>
          <t>Franquia em caso de sinistro</t>
        </is>
      </c>
      <c r="C67" s="7" t="inlineStr"/>
      <c r="D67" s="8" t="inlineStr">
        <is>
          <t>Valor pelo qual o locatario responde em caso de acidente</t>
        </is>
      </c>
    </row>
    <row r="68" ht="24" customHeight="1">
      <c r="B68" s="6" t="inlineStr">
        <is>
          <t>Em caso de acidente</t>
        </is>
      </c>
      <c r="C68" s="7" t="inlineStr">
        <is>
          <t>1) Acionar NomadDrive  2) B.O.  3) Seguradora</t>
        </is>
      </c>
    </row>
    <row r="69" ht="6" customHeight="1"/>
    <row r="70" ht="22" customHeight="1">
      <c r="B70" s="4" t="inlineStr">
        <is>
          <t>9.  MULTAS E PENALIDADES INTERNAS (padrao do mercado)</t>
        </is>
      </c>
      <c r="C70" s="5" t="n"/>
      <c r="D70" s="5" t="n"/>
    </row>
    <row r="71" ht="24" customHeight="1">
      <c r="B71" s="6" t="inlineStr">
        <is>
          <t>Fumar no veiculo (cigarro, charuto, vape)</t>
        </is>
      </c>
      <c r="C71" s="7" t="inlineStr">
        <is>
          <t>R$ 500</t>
        </is>
      </c>
      <c r="D71" s="8" t="inlineStr">
        <is>
          <t>Limpeza profunda + remocao de odor</t>
        </is>
      </c>
    </row>
    <row r="72" ht="24" customHeight="1">
      <c r="B72" s="6" t="inlineStr">
        <is>
          <t>Maconha / drogas no veiculo</t>
        </is>
      </c>
      <c r="C72" s="7" t="inlineStr">
        <is>
          <t>R$ 1.000 + sancoes legais</t>
        </is>
      </c>
      <c r="D72" s="8" t="inlineStr">
        <is>
          <t>Limpeza + higienizacao + cooperacao com autoridades se houver registro</t>
        </is>
      </c>
    </row>
    <row r="73" ht="24" customHeight="1">
      <c r="B73" s="6" t="inlineStr">
        <is>
          <t>Pet sem capa de protecao</t>
        </is>
      </c>
      <c r="C73" s="7" t="inlineStr">
        <is>
          <t>R$ 500</t>
        </is>
      </c>
      <c r="D73" s="8" t="inlineStr">
        <is>
          <t>Lavagem + remocao de pelos</t>
        </is>
      </c>
    </row>
    <row r="74" ht="24" customHeight="1">
      <c r="B74" s="6" t="inlineStr">
        <is>
          <t>Devolucao suja em excesso</t>
        </is>
      </c>
      <c r="C74" s="7" t="inlineStr">
        <is>
          <t>R$ 150</t>
        </is>
      </c>
      <c r="D74" s="8" t="inlineStr">
        <is>
          <t>Alem da lavagem padrao ja inclusa</t>
        </is>
      </c>
    </row>
    <row r="75" ht="24" customHeight="1">
      <c r="B75" s="6" t="inlineStr">
        <is>
          <t>Combustivel abaixo do nivel recebido</t>
        </is>
      </c>
      <c r="C75" s="7" t="inlineStr">
        <is>
          <t>Tanque cheio + R$ 100</t>
        </is>
      </c>
      <c r="D75" s="8" t="inlineStr">
        <is>
          <t>Mais pratico que apurar litro a litro</t>
        </is>
      </c>
    </row>
    <row r="76" ht="24" customHeight="1">
      <c r="B76" s="6" t="inlineStr">
        <is>
          <t>Devolucao atrasada</t>
        </is>
      </c>
      <c r="C76" s="7" t="inlineStr">
        <is>
          <t>R$ 100/hora apos 1h de tolerancia</t>
        </is>
      </c>
      <c r="D76" s="8" t="inlineStr">
        <is>
          <t>Apos 3h: + 1 diaria completa</t>
        </is>
      </c>
    </row>
    <row r="77" ht="24" customHeight="1">
      <c r="B77" s="6" t="inlineStr">
        <is>
          <t>Perda da chave principal</t>
        </is>
      </c>
      <c r="C77" s="7" t="inlineStr">
        <is>
          <t>R$ 2.000</t>
        </is>
      </c>
      <c r="D77" s="8" t="inlineStr">
        <is>
          <t>Chave + copia + reprogramacao</t>
        </is>
      </c>
    </row>
    <row r="78" ht="24" customHeight="1">
      <c r="B78" s="6" t="inlineStr">
        <is>
          <t>Perda do CRLV ou documentos</t>
        </is>
      </c>
      <c r="C78" s="7" t="inlineStr">
        <is>
          <t>R$ 300</t>
        </is>
      </c>
      <c r="D78" s="8" t="inlineStr">
        <is>
          <t>Segunda via + tempo administrativo</t>
        </is>
      </c>
    </row>
    <row r="79" ht="24" customHeight="1">
      <c r="B79" s="6" t="inlineStr">
        <is>
          <t>Taxa administrativa por multa de transito</t>
        </is>
      </c>
      <c r="C79" s="7" t="inlineStr">
        <is>
          <t>R$ 50 por multa</t>
        </is>
      </c>
      <c r="D79" s="8" t="inlineStr">
        <is>
          <t>Alem do valor da propria multa</t>
        </is>
      </c>
    </row>
    <row r="80" ht="24" customHeight="1">
      <c r="B80" s="6" t="inlineStr">
        <is>
          <t>Excesso de km alem da franquia (item 5)</t>
        </is>
      </c>
      <c r="C80" s="7" t="inlineStr">
        <is>
          <t>R$ 0,50 / km</t>
        </is>
      </c>
      <c r="D80" s="8" t="inlineStr">
        <is>
          <t>Cobrado na devolucao</t>
        </is>
      </c>
    </row>
    <row r="81" ht="24" customHeight="1">
      <c r="B81" s="6" t="inlineStr">
        <is>
          <t>Pneu danificado por culpa do locatario</t>
        </is>
      </c>
      <c r="C81" s="7" t="inlineStr">
        <is>
          <t>Pneu + R$ 100</t>
        </is>
      </c>
      <c r="D81" s="8" t="inlineStr">
        <is>
          <t>Furo por uso normal nao conta</t>
        </is>
      </c>
    </row>
    <row r="82" ht="24" customHeight="1">
      <c r="B82" s="6" t="inlineStr">
        <is>
          <t>Sinistro com culpa do locatario</t>
        </is>
      </c>
      <c r="C82" s="7" t="inlineStr">
        <is>
          <t>Franquia do seguro (item 8)</t>
        </is>
      </c>
      <c r="D82" s="8" t="inlineStr">
        <is>
          <t>Acima da franquia: cobertura da seguradora</t>
        </is>
      </c>
    </row>
    <row r="83" ht="24" customHeight="1">
      <c r="B83" s="6" t="inlineStr">
        <is>
          <t>Quebra grave de contrato (uso comercial, etc.)</t>
        </is>
      </c>
      <c r="C83" s="7" t="inlineStr">
        <is>
          <t>Perda total da caucao + cobranca dos danos</t>
        </is>
      </c>
      <c r="D83" s="8" t="inlineStr">
        <is>
          <t>Mais rescisao imediata</t>
        </is>
      </c>
    </row>
    <row r="84" ht="6" customHeight="1"/>
    <row r="85" ht="22" customHeight="1">
      <c r="B85" s="4" t="inlineStr">
        <is>
          <t>10.  CLAUSULAS GERAIS</t>
        </is>
      </c>
      <c r="C85" s="5" t="n"/>
      <c r="D85" s="5" t="n"/>
    </row>
    <row r="86" ht="26" customHeight="1">
      <c r="B86" s="6" t="inlineStr">
        <is>
          <t>•  Devolucao antecipada: comunicar com 48h. O valor mensal nao e proporcional, salvo acordo previo por escrito.</t>
        </is>
      </c>
    </row>
    <row r="87" ht="26" customHeight="1">
      <c r="B87" s="6" t="inlineStr">
        <is>
          <t>•  Prorrogacao: sob disponibilidade, combinada por escrito (WhatsApp serve como acordo).</t>
        </is>
      </c>
    </row>
    <row r="88" ht="26" customHeight="1">
      <c r="B88" s="6" t="inlineStr">
        <is>
          <t>•  Rescisao por inadimplencia ou descumprimento: imediata, com perda da caucao + cobranca dos danos.</t>
        </is>
      </c>
    </row>
    <row r="89" ht="26" customHeight="1">
      <c r="B89" s="6" t="inlineStr">
        <is>
          <t>•  Vistoria com fotos na retirada e na devolucao - parte integrante do contrato.</t>
        </is>
      </c>
    </row>
    <row r="90" ht="26" customHeight="1">
      <c r="B90" s="6" t="inlineStr">
        <is>
          <t>•  Veiculo possui rastreador GPS ativo - parte da seguranca da locacao.</t>
        </is>
      </c>
    </row>
    <row r="91" ht="26" customHeight="1">
      <c r="B91" s="6" t="inlineStr">
        <is>
          <t>•  Foro: Comarca de Uberlandia - MG.</t>
        </is>
      </c>
    </row>
    <row r="92" ht="6" customHeight="1"/>
    <row r="93" ht="22" customHeight="1">
      <c r="B93" s="4" t="inlineStr">
        <is>
          <t>ASSINATURAS</t>
        </is>
      </c>
      <c r="C93" s="5" t="n"/>
      <c r="D93" s="5" t="n"/>
    </row>
    <row r="94" ht="24" customHeight="1">
      <c r="B94" s="13" t="inlineStr">
        <is>
          <t>Uberlandia, ____ de _________________ de ________.</t>
        </is>
      </c>
    </row>
    <row r="97">
      <c r="B97" s="14" t="inlineStr">
        <is>
          <t>_____________________________________</t>
        </is>
      </c>
      <c r="D97" s="14" t="inlineStr">
        <is>
          <t>_____________________________________</t>
        </is>
      </c>
    </row>
    <row r="98">
      <c r="B98" s="15" t="inlineStr">
        <is>
          <t>Locatario</t>
        </is>
      </c>
      <c r="D98" s="15" t="inlineStr">
        <is>
          <t>NomadDrive Brasil / Proprietario</t>
        </is>
      </c>
    </row>
  </sheetData>
  <mergeCells count="34">
    <mergeCell ref="B60:D60"/>
    <mergeCell ref="B61:D61"/>
    <mergeCell ref="B1:D1"/>
    <mergeCell ref="B57:D57"/>
    <mergeCell ref="B88:D88"/>
    <mergeCell ref="B53:D53"/>
    <mergeCell ref="B87:D87"/>
    <mergeCell ref="B49:D49"/>
    <mergeCell ref="B2:D2"/>
    <mergeCell ref="B51:D51"/>
    <mergeCell ref="B64:D64"/>
    <mergeCell ref="B89:D89"/>
    <mergeCell ref="B94:D94"/>
    <mergeCell ref="B85:D85"/>
    <mergeCell ref="B4:D4"/>
    <mergeCell ref="B50:D50"/>
    <mergeCell ref="B62:D62"/>
    <mergeCell ref="B91:D91"/>
    <mergeCell ref="B25:D25"/>
    <mergeCell ref="B47:D47"/>
    <mergeCell ref="B54:D54"/>
    <mergeCell ref="B16:D16"/>
    <mergeCell ref="B86:D86"/>
    <mergeCell ref="B90:D90"/>
    <mergeCell ref="B59:D59"/>
    <mergeCell ref="B31:D31"/>
    <mergeCell ref="B46:D46"/>
    <mergeCell ref="B93:D93"/>
    <mergeCell ref="B56:D56"/>
    <mergeCell ref="B58:D58"/>
    <mergeCell ref="B52:D52"/>
    <mergeCell ref="B70:D70"/>
    <mergeCell ref="B39:D39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MONTHLY RENTAL CONTRACT  -  NomadDrive Brasil</t>
        </is>
      </c>
      <c r="C1" s="2" t="n"/>
      <c r="D1" s="2" t="n"/>
    </row>
    <row r="2" ht="24" customHeight="1">
      <c r="B2" s="3" t="inlineStr">
        <is>
          <t>Contract no. _____ | Date: __/__/____ | Translation for reference. The Portuguese version is the legally binding one.</t>
        </is>
      </c>
    </row>
    <row r="4" ht="22" customHeight="1">
      <c r="B4" s="4" t="inlineStr">
        <is>
          <t>1.  RENTER</t>
        </is>
      </c>
      <c r="C4" s="5" t="n"/>
      <c r="D4" s="5" t="n"/>
    </row>
    <row r="5" ht="24" customHeight="1">
      <c r="B5" s="6" t="inlineStr">
        <is>
          <t>Full name</t>
        </is>
      </c>
      <c r="C5" s="7" t="inlineStr"/>
    </row>
    <row r="6" ht="24" customHeight="1">
      <c r="B6" s="6" t="inlineStr">
        <is>
          <t>Document (Passport / ID)</t>
        </is>
      </c>
      <c r="C6" s="7" t="inlineStr"/>
      <c r="D6" s="8" t="inlineStr">
        <is>
          <t>Foreign visitor: passport</t>
        </is>
      </c>
    </row>
    <row r="7" ht="24" customHeight="1">
      <c r="B7" s="6" t="inlineStr">
        <is>
          <t>Driver's license number</t>
        </is>
      </c>
      <c r="C7" s="7" t="inlineStr"/>
    </row>
    <row r="8" ht="24" customHeight="1">
      <c r="B8" s="6" t="inlineStr">
        <is>
          <t>License expiry date</t>
        </is>
      </c>
      <c r="C8" s="7" t="inlineStr"/>
      <c r="D8" s="8" t="inlineStr">
        <is>
          <t>dd/mm/yyyy</t>
        </is>
      </c>
    </row>
    <row r="9" ht="24" customHeight="1">
      <c r="B9" s="6" t="inlineStr">
        <is>
          <t>License country of issuance</t>
        </is>
      </c>
      <c r="C9" s="7" t="inlineStr"/>
      <c r="D9" s="8" t="inlineStr">
        <is>
          <t>Brazil may require International Driving Permit (IDP)</t>
        </is>
      </c>
    </row>
    <row r="10" ht="24" customHeight="1">
      <c r="B10" s="6" t="inlineStr">
        <is>
          <t>Nationality</t>
        </is>
      </c>
      <c r="C10" s="7" t="inlineStr"/>
    </row>
    <row r="11" ht="24" customHeight="1">
      <c r="B11" s="6" t="inlineStr">
        <is>
          <t>Full address</t>
        </is>
      </c>
      <c r="C11" s="7" t="inlineStr"/>
    </row>
    <row r="12" ht="24" customHeight="1">
      <c r="B12" s="6" t="inlineStr">
        <is>
          <t>Phone / WhatsApp (with country code)</t>
        </is>
      </c>
      <c r="C12" s="7" t="inlineStr"/>
    </row>
    <row r="13" ht="24" customHeight="1">
      <c r="B13" s="6" t="inlineStr">
        <is>
          <t>E-mail</t>
        </is>
      </c>
      <c r="C13" s="7" t="inlineStr"/>
    </row>
    <row r="14" ht="24" customHeight="1">
      <c r="B14" s="6" t="inlineStr">
        <is>
          <t>Referred by</t>
        </is>
      </c>
      <c r="C14" s="7" t="inlineStr"/>
      <c r="D14" s="8" t="inlineStr">
        <is>
          <t>Name of who referred you (referral)</t>
        </is>
      </c>
    </row>
    <row r="15" ht="6" customHeight="1"/>
    <row r="16" ht="22" customHeight="1">
      <c r="B16" s="4" t="inlineStr">
        <is>
          <t>2.  VEHICLE</t>
        </is>
      </c>
      <c r="C16" s="5" t="n"/>
      <c r="D16" s="5" t="n"/>
    </row>
    <row r="17" ht="24" customHeight="1">
      <c r="B17" s="6" t="inlineStr">
        <is>
          <t>Make / Model / Trim</t>
        </is>
      </c>
      <c r="C17" s="7" t="inlineStr">
        <is>
          <t>Chevrolet Cobalt Elite</t>
        </is>
      </c>
    </row>
    <row r="18" ht="24" customHeight="1">
      <c r="B18" s="6" t="inlineStr">
        <is>
          <t>Year</t>
        </is>
      </c>
      <c r="C18" s="7" t="inlineStr">
        <is>
          <t>2018</t>
        </is>
      </c>
    </row>
    <row r="19" ht="24" customHeight="1">
      <c r="B19" s="6" t="inlineStr">
        <is>
          <t>Color</t>
        </is>
      </c>
      <c r="C19" s="7" t="inlineStr">
        <is>
          <t>White</t>
        </is>
      </c>
    </row>
    <row r="20" ht="24" customHeight="1">
      <c r="B20" s="6" t="inlineStr">
        <is>
          <t>License plate</t>
        </is>
      </c>
      <c r="C20" s="7" t="inlineStr"/>
    </row>
    <row r="21" ht="24" customHeight="1">
      <c r="B21" s="6" t="inlineStr">
        <is>
          <t>VIN (Chassi)</t>
        </is>
      </c>
      <c r="C21" s="7" t="inlineStr"/>
    </row>
    <row r="22" ht="24" customHeight="1">
      <c r="B22" s="6" t="inlineStr">
        <is>
          <t>Renavam</t>
        </is>
      </c>
      <c r="C22" s="7" t="inlineStr"/>
    </row>
    <row r="23" ht="24" customHeight="1">
      <c r="B23" s="6" t="inlineStr">
        <is>
          <t>NomadDrive Category</t>
        </is>
      </c>
      <c r="C23" s="7" t="inlineStr">
        <is>
          <t>B - Confort</t>
        </is>
      </c>
    </row>
    <row r="24" ht="6" customHeight="1"/>
    <row r="25" ht="22" customHeight="1">
      <c r="B25" s="4" t="inlineStr">
        <is>
          <t>3.  RENTAL PERIOD &amp; LOCATION</t>
        </is>
      </c>
      <c r="C25" s="5" t="n"/>
      <c r="D25" s="5" t="n"/>
    </row>
    <row r="26" ht="24" customHeight="1">
      <c r="B26" s="6" t="inlineStr">
        <is>
          <t>Pick-up date</t>
        </is>
      </c>
      <c r="C26" s="9" t="inlineStr"/>
    </row>
    <row r="27" ht="24" customHeight="1">
      <c r="B27" s="6" t="inlineStr">
        <is>
          <t>Return date</t>
        </is>
      </c>
      <c r="C27" s="9" t="inlineStr"/>
    </row>
    <row r="28" ht="24" customHeight="1">
      <c r="B28" s="6" t="inlineStr">
        <is>
          <t>Pick-up location</t>
        </is>
      </c>
      <c r="C28" s="7" t="inlineStr"/>
      <c r="D28" s="8" t="inlineStr">
        <is>
          <t>Full address</t>
        </is>
      </c>
    </row>
    <row r="29" ht="24" customHeight="1">
      <c r="B29" s="6" t="inlineStr">
        <is>
          <t>Return location</t>
        </is>
      </c>
      <c r="C29" s="7" t="inlineStr"/>
    </row>
    <row r="30" ht="6" customHeight="1"/>
    <row r="31" ht="22" customHeight="1">
      <c r="B31" s="4" t="inlineStr">
        <is>
          <t>4.  VALUES &amp; PAYMENT</t>
        </is>
      </c>
      <c r="C31" s="5" t="n"/>
      <c r="D31" s="5" t="n"/>
    </row>
    <row r="32" ht="24" customHeight="1">
      <c r="B32" s="6" t="inlineStr">
        <is>
          <t>Monthly price agreed</t>
        </is>
      </c>
      <c r="C32" s="10" t="n">
        <v>3000</v>
      </c>
    </row>
    <row r="33" ht="24" customHeight="1">
      <c r="B33" s="6" t="inlineStr">
        <is>
          <t>Number of months</t>
        </is>
      </c>
      <c r="C33" s="7" t="n">
        <v>2</v>
      </c>
    </row>
    <row r="34" ht="24" customHeight="1">
      <c r="B34" s="11" t="inlineStr">
        <is>
          <t>RENTAL TOTAL</t>
        </is>
      </c>
      <c r="C34" s="12">
        <f>C32*C33</f>
        <v/>
      </c>
    </row>
    <row r="35" ht="24" customHeight="1">
      <c r="B35" s="6" t="inlineStr">
        <is>
          <t>Security deposit (refundable)</t>
        </is>
      </c>
      <c r="C35" s="10" t="n">
        <v>2000</v>
      </c>
      <c r="D35" s="8" t="inlineStr">
        <is>
          <t>Refunded within 7 days after the final inspection</t>
        </is>
      </c>
    </row>
    <row r="36" ht="24" customHeight="1">
      <c r="B36" s="6" t="inlineStr">
        <is>
          <t>Payment method</t>
        </is>
      </c>
      <c r="C36" s="7" t="inlineStr">
        <is>
          <t>PIX</t>
        </is>
      </c>
      <c r="D36" s="8" t="inlineStr">
        <is>
          <t>PIX / international bank transfer / card</t>
        </is>
      </c>
    </row>
    <row r="37" ht="24" customHeight="1">
      <c r="B37" s="6" t="inlineStr">
        <is>
          <t>Payment date</t>
        </is>
      </c>
      <c r="C37" s="9" t="inlineStr"/>
    </row>
    <row r="38" ht="6" customHeight="1"/>
    <row r="39" ht="22" customHeight="1">
      <c r="B39" s="4" t="inlineStr">
        <is>
          <t>5.  MILEAGE</t>
        </is>
      </c>
      <c r="C39" s="5" t="n"/>
      <c r="D39" s="5" t="n"/>
    </row>
    <row r="40" ht="24" customHeight="1">
      <c r="B40" s="6" t="inlineStr">
        <is>
          <t>Monthly free allowance</t>
        </is>
      </c>
      <c r="C40" s="7" t="inlineStr">
        <is>
          <t>3,000 km/month</t>
        </is>
      </c>
      <c r="D40" s="8" t="inlineStr">
        <is>
          <t>About 100 km/day - generous for personal use</t>
        </is>
      </c>
    </row>
    <row r="41" ht="24" customHeight="1">
      <c r="B41" s="6" t="inlineStr">
        <is>
          <t>Excess fee</t>
        </is>
      </c>
      <c r="C41" s="7" t="inlineStr">
        <is>
          <t>R$ 0.50 / km</t>
        </is>
      </c>
      <c r="D41" s="8" t="inlineStr">
        <is>
          <t>Charged above the monthly cap</t>
        </is>
      </c>
    </row>
    <row r="42" ht="24" customHeight="1">
      <c r="B42" s="6" t="inlineStr">
        <is>
          <t>Prohibited use</t>
        </is>
      </c>
      <c r="C42" s="7" t="inlineStr">
        <is>
          <t>Ride-hailing (Uber, 99), off-road, commercial, racing</t>
        </is>
      </c>
      <c r="D42" s="8" t="inlineStr">
        <is>
          <t>Contract breach + loss of deposit</t>
        </is>
      </c>
    </row>
    <row r="43" ht="24" customHeight="1">
      <c r="B43" s="6" t="inlineStr">
        <is>
          <t>Starting KM (at pick-up inspection)</t>
        </is>
      </c>
      <c r="C43" s="7" t="inlineStr"/>
      <c r="D43" s="8" t="inlineStr">
        <is>
          <t>Note and photograph the odometer</t>
        </is>
      </c>
    </row>
    <row r="44" ht="24" customHeight="1">
      <c r="B44" s="6" t="inlineStr">
        <is>
          <t>Final KM (at return inspection)</t>
        </is>
      </c>
      <c r="C44" s="7" t="inlineStr"/>
    </row>
    <row r="45" ht="6" customHeight="1"/>
    <row r="46" ht="22" customHeight="1">
      <c r="B46" s="4" t="inlineStr">
        <is>
          <t>6.  RENTER RESPONSIBILITIES</t>
        </is>
      </c>
      <c r="C46" s="5" t="n"/>
      <c r="D46" s="5" t="n"/>
    </row>
    <row r="47" ht="26" customHeight="1">
      <c r="B47" s="6" t="inlineStr">
        <is>
          <t>•  Return the car in the same condition as picked up (basic cleaning is included in the contract)</t>
        </is>
      </c>
    </row>
    <row r="48" ht="26" customHeight="1">
      <c r="B48" s="6" t="inlineStr">
        <is>
          <t>•  Fuel: return at the same level as received</t>
        </is>
      </c>
    </row>
    <row r="49" ht="26" customHeight="1">
      <c r="B49" s="6" t="inlineStr">
        <is>
          <t>•  Tolls and traffic fines during the period are the renter's responsibility</t>
        </is>
      </c>
    </row>
    <row r="50" ht="26" customHeight="1">
      <c r="B50" s="6" t="inlineStr">
        <is>
          <t>•  Minor repairs from normal use (bulbs, punctured tires) - renter's responsibility</t>
        </is>
      </c>
    </row>
    <row r="51" ht="26" customHeight="1">
      <c r="B51" s="6" t="inlineStr">
        <is>
          <t>•  Immediately report accidents, mechanical issues or theft</t>
        </is>
      </c>
    </row>
    <row r="52" ht="26" customHeight="1">
      <c r="B52" s="6" t="inlineStr">
        <is>
          <t>•  Stay within the monthly mileage cap (item 5)</t>
        </is>
      </c>
    </row>
    <row r="53" ht="26" customHeight="1">
      <c r="B53" s="6" t="inlineStr">
        <is>
          <t>•  Do not lend the car to third parties not listed on this contract</t>
        </is>
      </c>
    </row>
    <row r="54" ht="26" customHeight="1">
      <c r="B54" s="6" t="inlineStr">
        <is>
          <t>•  Do not use the vehicle for prohibited activities (item 5)</t>
        </is>
      </c>
    </row>
    <row r="55" ht="6" customHeight="1"/>
    <row r="56" ht="22" customHeight="1">
      <c r="B56" s="4" t="inlineStr">
        <is>
          <t>7.  NOMADDRIVE / OWNER RESPONSIBILITIES</t>
        </is>
      </c>
      <c r="C56" s="5" t="n"/>
      <c r="D56" s="5" t="n"/>
    </row>
    <row r="57" ht="26" customHeight="1">
      <c r="B57" s="6" t="inlineStr">
        <is>
          <t>•  Deliver the vehicle in perfect operating condition, all documents up-to-date (IPVA, registration, insurance)</t>
        </is>
      </c>
    </row>
    <row r="58" ht="26" customHeight="1">
      <c r="B58" s="6" t="inlineStr">
        <is>
          <t>•  Insurance with coverage adequate for rental use</t>
        </is>
      </c>
    </row>
    <row r="59" ht="26" customHeight="1">
      <c r="B59" s="6" t="inlineStr">
        <is>
          <t>•  Backup car in case of mechanical breakdown not caused by the renter</t>
        </is>
      </c>
    </row>
    <row r="60" ht="26" customHeight="1">
      <c r="B60" s="6" t="inlineStr">
        <is>
          <t>•  WhatsApp support throughout the rental period</t>
        </is>
      </c>
    </row>
    <row r="61" ht="26" customHeight="1">
      <c r="B61" s="6" t="inlineStr">
        <is>
          <t>•  Refund the deposit within 7 days after final inspection, deducting only confirmed damages</t>
        </is>
      </c>
    </row>
    <row r="62" ht="26" customHeight="1">
      <c r="B62" s="6" t="inlineStr">
        <is>
          <t>•  Vehicle washed and ready - basic cleaning included in the contract</t>
        </is>
      </c>
    </row>
    <row r="63" ht="6" customHeight="1"/>
    <row r="64" ht="22" customHeight="1">
      <c r="B64" s="4" t="inlineStr">
        <is>
          <t>8.  INSURANCE &amp; CLAIMS</t>
        </is>
      </c>
      <c r="C64" s="5" t="n"/>
      <c r="D64" s="5" t="n"/>
    </row>
    <row r="65" ht="24" customHeight="1">
      <c r="B65" s="6" t="inlineStr">
        <is>
          <t>Insurance company / policy</t>
        </is>
      </c>
      <c r="C65" s="7" t="inlineStr"/>
      <c r="D65" s="8" t="inlineStr">
        <is>
          <t>Fill in</t>
        </is>
      </c>
    </row>
    <row r="66" ht="24" customHeight="1">
      <c r="B66" s="6" t="inlineStr">
        <is>
          <t>Coverage</t>
        </is>
      </c>
      <c r="C66" s="7" t="inlineStr">
        <is>
          <t>Vehicle, third party, personal accident</t>
        </is>
      </c>
    </row>
    <row r="67" ht="24" customHeight="1">
      <c r="B67" s="6" t="inlineStr">
        <is>
          <t>Deductible in case of claim</t>
        </is>
      </c>
      <c r="C67" s="7" t="inlineStr"/>
      <c r="D67" s="8" t="inlineStr">
        <is>
          <t>Renter's responsibility up to this amount</t>
        </is>
      </c>
    </row>
    <row r="68" ht="24" customHeight="1">
      <c r="B68" s="6" t="inlineStr">
        <is>
          <t>In case of accident</t>
        </is>
      </c>
      <c r="C68" s="7" t="inlineStr">
        <is>
          <t>1) Call NomadDrive  2) Police report  3) Insurer</t>
        </is>
      </c>
    </row>
    <row r="69" ht="6" customHeight="1"/>
    <row r="70" ht="22" customHeight="1">
      <c r="B70" s="4" t="inlineStr">
        <is>
          <t>9.  INTERNAL FINES &amp; PENALTIES (industry standard)</t>
        </is>
      </c>
      <c r="C70" s="5" t="n"/>
      <c r="D70" s="5" t="n"/>
    </row>
    <row r="71" ht="24" customHeight="1">
      <c r="B71" s="6" t="inlineStr">
        <is>
          <t>Smoking in vehicle (cigarette, cigar, vape)</t>
        </is>
      </c>
      <c r="C71" s="7" t="inlineStr">
        <is>
          <t>R$ 500</t>
        </is>
      </c>
      <c r="D71" s="8" t="inlineStr">
        <is>
          <t>Deep cleaning + odor removal</t>
        </is>
      </c>
    </row>
    <row r="72" ht="24" customHeight="1">
      <c r="B72" s="6" t="inlineStr">
        <is>
          <t>Marijuana / drugs in vehicle</t>
        </is>
      </c>
      <c r="C72" s="7" t="inlineStr">
        <is>
          <t>R$ 1,000 + legal action</t>
        </is>
      </c>
      <c r="D72" s="8" t="inlineStr">
        <is>
          <t>Deep cleaning + cooperation with authorities</t>
        </is>
      </c>
    </row>
    <row r="73" ht="24" customHeight="1">
      <c r="B73" s="6" t="inlineStr">
        <is>
          <t>Pet without protective cover</t>
        </is>
      </c>
      <c r="C73" s="7" t="inlineStr">
        <is>
          <t>R$ 500</t>
        </is>
      </c>
      <c r="D73" s="8" t="inlineStr">
        <is>
          <t>Cleaning + hair removal</t>
        </is>
      </c>
    </row>
    <row r="74" ht="24" customHeight="1">
      <c r="B74" s="6" t="inlineStr">
        <is>
          <t>Excessively dirty return</t>
        </is>
      </c>
      <c r="C74" s="7" t="inlineStr">
        <is>
          <t>R$ 150</t>
        </is>
      </c>
      <c r="D74" s="8" t="inlineStr">
        <is>
          <t>Beyond the standard cleaning included</t>
        </is>
      </c>
    </row>
    <row r="75" ht="24" customHeight="1">
      <c r="B75" s="6" t="inlineStr">
        <is>
          <t>Fuel below received level</t>
        </is>
      </c>
      <c r="C75" s="7" t="inlineStr">
        <is>
          <t>Full tank + R$ 100</t>
        </is>
      </c>
      <c r="D75" s="8" t="inlineStr">
        <is>
          <t>Simpler than auditing liter by liter</t>
        </is>
      </c>
    </row>
    <row r="76" ht="24" customHeight="1">
      <c r="B76" s="6" t="inlineStr">
        <is>
          <t>Late return</t>
        </is>
      </c>
      <c r="C76" s="7" t="inlineStr">
        <is>
          <t>R$ 100/hour after 1h grace</t>
        </is>
      </c>
      <c r="D76" s="8" t="inlineStr">
        <is>
          <t>After 3h: +1 full daily rate</t>
        </is>
      </c>
    </row>
    <row r="77" ht="24" customHeight="1">
      <c r="B77" s="6" t="inlineStr">
        <is>
          <t>Lost main key</t>
        </is>
      </c>
      <c r="C77" s="7" t="inlineStr">
        <is>
          <t>R$ 2,000</t>
        </is>
      </c>
      <c r="D77" s="8" t="inlineStr">
        <is>
          <t>Key + copy + reprogramming</t>
        </is>
      </c>
    </row>
    <row r="78" ht="24" customHeight="1">
      <c r="B78" s="6" t="inlineStr">
        <is>
          <t>Lost CRLV or documents</t>
        </is>
      </c>
      <c r="C78" s="7" t="inlineStr">
        <is>
          <t>R$ 300</t>
        </is>
      </c>
      <c r="D78" s="8" t="inlineStr">
        <is>
          <t>Replacement + admin time</t>
        </is>
      </c>
    </row>
    <row r="79" ht="24" customHeight="1">
      <c r="B79" s="6" t="inlineStr">
        <is>
          <t>Admin fee per traffic fine</t>
        </is>
      </c>
      <c r="C79" s="7" t="inlineStr">
        <is>
          <t>R$ 50 per fine</t>
        </is>
      </c>
      <c r="D79" s="8" t="inlineStr">
        <is>
          <t>Plus the fine value itself</t>
        </is>
      </c>
    </row>
    <row r="80" ht="24" customHeight="1">
      <c r="B80" s="6" t="inlineStr">
        <is>
          <t>Excess mileage above cap (item 5)</t>
        </is>
      </c>
      <c r="C80" s="7" t="inlineStr">
        <is>
          <t>R$ 0.50 / km</t>
        </is>
      </c>
      <c r="D80" s="8" t="inlineStr">
        <is>
          <t>Charged at return</t>
        </is>
      </c>
    </row>
    <row r="81" ht="24" customHeight="1">
      <c r="B81" s="6" t="inlineStr">
        <is>
          <t>Tire damaged by renter's fault</t>
        </is>
      </c>
      <c r="C81" s="7" t="inlineStr">
        <is>
          <t>Tire + R$ 100</t>
        </is>
      </c>
      <c r="D81" s="8" t="inlineStr">
        <is>
          <t>Normal puncture not included</t>
        </is>
      </c>
    </row>
    <row r="82" ht="24" customHeight="1">
      <c r="B82" s="6" t="inlineStr">
        <is>
          <t>Claim with renter's fault</t>
        </is>
      </c>
      <c r="C82" s="7" t="inlineStr">
        <is>
          <t>Insurance deductible (item 8)</t>
        </is>
      </c>
      <c r="D82" s="8" t="inlineStr">
        <is>
          <t>Above deductible: insurer covers</t>
        </is>
      </c>
    </row>
    <row r="83" ht="24" customHeight="1">
      <c r="B83" s="6" t="inlineStr">
        <is>
          <t>Major contract breach (commercial use, etc.)</t>
        </is>
      </c>
      <c r="C83" s="7" t="inlineStr">
        <is>
          <t>Loss of full deposit + damages</t>
        </is>
      </c>
      <c r="D83" s="8" t="inlineStr">
        <is>
          <t>Plus immediate termination</t>
        </is>
      </c>
    </row>
    <row r="84" ht="6" customHeight="1"/>
    <row r="85" ht="22" customHeight="1">
      <c r="B85" s="4" t="inlineStr">
        <is>
          <t>10.  GENERAL CLAUSES</t>
        </is>
      </c>
      <c r="C85" s="5" t="n"/>
      <c r="D85" s="5" t="n"/>
    </row>
    <row r="86" ht="26" customHeight="1">
      <c r="B86" s="6" t="inlineStr">
        <is>
          <t>•  Early return: notify 48h in advance. Monthly price is NOT prorated unless agreed in writing.</t>
        </is>
      </c>
    </row>
    <row r="87" ht="26" customHeight="1">
      <c r="B87" s="6" t="inlineStr">
        <is>
          <t>•  Extension: subject to availability, agreed in writing (WhatsApp acceptable).</t>
        </is>
      </c>
    </row>
    <row r="88" ht="26" customHeight="1">
      <c r="B88" s="6" t="inlineStr">
        <is>
          <t>•  Termination for non-payment or breach: immediate, with loss of deposit + recovery of damages.</t>
        </is>
      </c>
    </row>
    <row r="89" ht="26" customHeight="1">
      <c r="B89" s="6" t="inlineStr">
        <is>
          <t>•  Photographic inspection at pick-up and return - integral part of this contract.</t>
        </is>
      </c>
    </row>
    <row r="90" ht="26" customHeight="1">
      <c r="B90" s="6" t="inlineStr">
        <is>
          <t>•  Vehicle has an active GPS tracker - part of the rental security.</t>
        </is>
      </c>
    </row>
    <row r="91" ht="26" customHeight="1">
      <c r="B91" s="6" t="inlineStr">
        <is>
          <t>•  Jurisdiction: Court of Uberlandia - MG, Brazil.</t>
        </is>
      </c>
    </row>
    <row r="92" ht="6" customHeight="1"/>
    <row r="93" ht="22" customHeight="1">
      <c r="B93" s="4" t="inlineStr">
        <is>
          <t>SIGNATURES</t>
        </is>
      </c>
      <c r="C93" s="5" t="n"/>
      <c r="D93" s="5" t="n"/>
    </row>
    <row r="94" ht="24" customHeight="1">
      <c r="B94" s="13" t="inlineStr">
        <is>
          <t>Uberlandia, ____ of _________________ of ________.</t>
        </is>
      </c>
    </row>
    <row r="97">
      <c r="B97" s="14" t="inlineStr">
        <is>
          <t>_____________________________________</t>
        </is>
      </c>
      <c r="D97" s="14" t="inlineStr">
        <is>
          <t>_____________________________________</t>
        </is>
      </c>
    </row>
    <row r="98">
      <c r="B98" s="15" t="inlineStr">
        <is>
          <t>Renter</t>
        </is>
      </c>
      <c r="D98" s="15" t="inlineStr">
        <is>
          <t>NomadDrive Brasil / Owner</t>
        </is>
      </c>
    </row>
  </sheetData>
  <mergeCells count="34">
    <mergeCell ref="B60:D60"/>
    <mergeCell ref="B61:D61"/>
    <mergeCell ref="B1:D1"/>
    <mergeCell ref="B57:D57"/>
    <mergeCell ref="B88:D88"/>
    <mergeCell ref="B53:D53"/>
    <mergeCell ref="B87:D87"/>
    <mergeCell ref="B49:D49"/>
    <mergeCell ref="B2:D2"/>
    <mergeCell ref="B51:D51"/>
    <mergeCell ref="B64:D64"/>
    <mergeCell ref="B89:D89"/>
    <mergeCell ref="B94:D94"/>
    <mergeCell ref="B85:D85"/>
    <mergeCell ref="B4:D4"/>
    <mergeCell ref="B50:D50"/>
    <mergeCell ref="B62:D62"/>
    <mergeCell ref="B91:D91"/>
    <mergeCell ref="B25:D25"/>
    <mergeCell ref="B47:D47"/>
    <mergeCell ref="B54:D54"/>
    <mergeCell ref="B16:D16"/>
    <mergeCell ref="B86:D86"/>
    <mergeCell ref="B90:D90"/>
    <mergeCell ref="B59:D59"/>
    <mergeCell ref="B31:D31"/>
    <mergeCell ref="B46:D46"/>
    <mergeCell ref="B93:D93"/>
    <mergeCell ref="B56:D56"/>
    <mergeCell ref="B58:D58"/>
    <mergeCell ref="B52:D52"/>
    <mergeCell ref="B70:D70"/>
    <mergeCell ref="B39:D39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CONTRATO DE ALQUILER MENSUAL  -  NomadDrive Brasil</t>
        </is>
      </c>
      <c r="C1" s="2" t="n"/>
      <c r="D1" s="2" t="n"/>
    </row>
    <row r="2" ht="24" customHeight="1">
      <c r="B2" s="3" t="inlineStr">
        <is>
          <t>Contrato n. _____ | Fecha: __/__/____ | Traduccion de referencia. La version en portugues es la legalmente vinculante.</t>
        </is>
      </c>
    </row>
    <row r="4" ht="22" customHeight="1">
      <c r="B4" s="4" t="inlineStr">
        <is>
          <t>1.  ARRENDATARIO</t>
        </is>
      </c>
      <c r="C4" s="5" t="n"/>
      <c r="D4" s="5" t="n"/>
    </row>
    <row r="5" ht="24" customHeight="1">
      <c r="B5" s="6" t="inlineStr">
        <is>
          <t>Nombre completo</t>
        </is>
      </c>
      <c r="C5" s="7" t="inlineStr"/>
    </row>
    <row r="6" ht="24" customHeight="1">
      <c r="B6" s="6" t="inlineStr">
        <is>
          <t>Documento (DNI / Pasaporte)</t>
        </is>
      </c>
      <c r="C6" s="7" t="inlineStr"/>
      <c r="D6" s="8" t="inlineStr">
        <is>
          <t>Visitante extranjero: pasaporte</t>
        </is>
      </c>
    </row>
    <row r="7" ht="24" customHeight="1">
      <c r="B7" s="6" t="inlineStr">
        <is>
          <t>Numero de licencia de conducir</t>
        </is>
      </c>
      <c r="C7" s="7" t="inlineStr"/>
    </row>
    <row r="8" ht="24" customHeight="1">
      <c r="B8" s="6" t="inlineStr">
        <is>
          <t>Vencimiento de la licencia</t>
        </is>
      </c>
      <c r="C8" s="7" t="inlineStr"/>
      <c r="D8" s="8" t="inlineStr">
        <is>
          <t>dd/mm/yyyy</t>
        </is>
      </c>
    </row>
    <row r="9" ht="24" customHeight="1">
      <c r="B9" s="6" t="inlineStr">
        <is>
          <t>Pais de emision de la licencia</t>
        </is>
      </c>
      <c r="C9" s="7" t="inlineStr"/>
      <c r="D9" s="8" t="inlineStr">
        <is>
          <t>Brasil puede exigir el Permiso Internacional</t>
        </is>
      </c>
    </row>
    <row r="10" ht="24" customHeight="1">
      <c r="B10" s="6" t="inlineStr">
        <is>
          <t>Nacionalidad</t>
        </is>
      </c>
      <c r="C10" s="7" t="inlineStr"/>
    </row>
    <row r="11" ht="24" customHeight="1">
      <c r="B11" s="6" t="inlineStr">
        <is>
          <t>Domicilio completo</t>
        </is>
      </c>
      <c r="C11" s="7" t="inlineStr"/>
    </row>
    <row r="12" ht="24" customHeight="1">
      <c r="B12" s="6" t="inlineStr">
        <is>
          <t>Telefono / WhatsApp (con codigo de pais)</t>
        </is>
      </c>
      <c r="C12" s="7" t="inlineStr"/>
    </row>
    <row r="13" ht="24" customHeight="1">
      <c r="B13" s="6" t="inlineStr">
        <is>
          <t>Correo electronico</t>
        </is>
      </c>
      <c r="C13" s="7" t="inlineStr"/>
    </row>
    <row r="14" ht="24" customHeight="1">
      <c r="B14" s="6" t="inlineStr">
        <is>
          <t>Referido por</t>
        </is>
      </c>
      <c r="C14" s="7" t="inlineStr"/>
      <c r="D14" s="8" t="inlineStr">
        <is>
          <t>Nombre de quien te recomendo</t>
        </is>
      </c>
    </row>
    <row r="15" ht="6" customHeight="1"/>
    <row r="16" ht="22" customHeight="1">
      <c r="B16" s="4" t="inlineStr">
        <is>
          <t>2.  VEHICULO</t>
        </is>
      </c>
      <c r="C16" s="5" t="n"/>
      <c r="D16" s="5" t="n"/>
    </row>
    <row r="17" ht="24" customHeight="1">
      <c r="B17" s="6" t="inlineStr">
        <is>
          <t>Marca / Modelo / Version</t>
        </is>
      </c>
      <c r="C17" s="7" t="inlineStr">
        <is>
          <t>Chevrolet Cobalt Elite</t>
        </is>
      </c>
    </row>
    <row r="18" ht="24" customHeight="1">
      <c r="B18" s="6" t="inlineStr">
        <is>
          <t>Ano</t>
        </is>
      </c>
      <c r="C18" s="7" t="inlineStr">
        <is>
          <t>2018</t>
        </is>
      </c>
    </row>
    <row r="19" ht="24" customHeight="1">
      <c r="B19" s="6" t="inlineStr">
        <is>
          <t>Color</t>
        </is>
      </c>
      <c r="C19" s="7" t="inlineStr">
        <is>
          <t>Blanco</t>
        </is>
      </c>
    </row>
    <row r="20" ht="24" customHeight="1">
      <c r="B20" s="6" t="inlineStr">
        <is>
          <t>Placa</t>
        </is>
      </c>
      <c r="C20" s="7" t="inlineStr"/>
    </row>
    <row r="21" ht="24" customHeight="1">
      <c r="B21" s="6" t="inlineStr">
        <is>
          <t>Chasis / VIN</t>
        </is>
      </c>
      <c r="C21" s="7" t="inlineStr"/>
    </row>
    <row r="22" ht="24" customHeight="1">
      <c r="B22" s="6" t="inlineStr">
        <is>
          <t>Renavam</t>
        </is>
      </c>
      <c r="C22" s="7" t="inlineStr"/>
    </row>
    <row r="23" ht="24" customHeight="1">
      <c r="B23" s="6" t="inlineStr">
        <is>
          <t>Categoria NomadDrive</t>
        </is>
      </c>
      <c r="C23" s="7" t="inlineStr">
        <is>
          <t>B - Confort</t>
        </is>
      </c>
    </row>
    <row r="24" ht="6" customHeight="1"/>
    <row r="25" ht="22" customHeight="1">
      <c r="B25" s="4" t="inlineStr">
        <is>
          <t>3.  PERIODO Y LUGAR</t>
        </is>
      </c>
      <c r="C25" s="5" t="n"/>
      <c r="D25" s="5" t="n"/>
    </row>
    <row r="26" ht="24" customHeight="1">
      <c r="B26" s="6" t="inlineStr">
        <is>
          <t>Fecha de retiro</t>
        </is>
      </c>
      <c r="C26" s="9" t="inlineStr"/>
    </row>
    <row r="27" ht="24" customHeight="1">
      <c r="B27" s="6" t="inlineStr">
        <is>
          <t>Fecha de devolucion</t>
        </is>
      </c>
      <c r="C27" s="9" t="inlineStr"/>
    </row>
    <row r="28" ht="24" customHeight="1">
      <c r="B28" s="6" t="inlineStr">
        <is>
          <t>Lugar de retiro</t>
        </is>
      </c>
      <c r="C28" s="7" t="inlineStr"/>
      <c r="D28" s="8" t="inlineStr">
        <is>
          <t>Direccion completa</t>
        </is>
      </c>
    </row>
    <row r="29" ht="24" customHeight="1">
      <c r="B29" s="6" t="inlineStr">
        <is>
          <t>Lugar de devolucion</t>
        </is>
      </c>
      <c r="C29" s="7" t="inlineStr"/>
    </row>
    <row r="30" ht="6" customHeight="1"/>
    <row r="31" ht="22" customHeight="1">
      <c r="B31" s="4" t="inlineStr">
        <is>
          <t>4.  VALORES Y PAGO</t>
        </is>
      </c>
      <c r="C31" s="5" t="n"/>
      <c r="D31" s="5" t="n"/>
    </row>
    <row r="32" ht="24" customHeight="1">
      <c r="B32" s="6" t="inlineStr">
        <is>
          <t>Precio mensual acordado</t>
        </is>
      </c>
      <c r="C32" s="10" t="n">
        <v>3000</v>
      </c>
    </row>
    <row r="33" ht="24" customHeight="1">
      <c r="B33" s="6" t="inlineStr">
        <is>
          <t>Numero de meses</t>
        </is>
      </c>
      <c r="C33" s="7" t="n">
        <v>2</v>
      </c>
    </row>
    <row r="34" ht="24" customHeight="1">
      <c r="B34" s="11" t="inlineStr">
        <is>
          <t>TOTAL DEL ALQUILER</t>
        </is>
      </c>
      <c r="C34" s="12">
        <f>C32*C33</f>
        <v/>
      </c>
    </row>
    <row r="35" ht="24" customHeight="1">
      <c r="B35" s="6" t="inlineStr">
        <is>
          <t>Fianza (deposito reembolsable)</t>
        </is>
      </c>
      <c r="C35" s="10" t="n">
        <v>2000</v>
      </c>
      <c r="D35" s="8" t="inlineStr">
        <is>
          <t>Reembolsada en hasta 7 dias despues de la inspeccion final</t>
        </is>
      </c>
    </row>
    <row r="36" ht="24" customHeight="1">
      <c r="B36" s="6" t="inlineStr">
        <is>
          <t>Forma de pago</t>
        </is>
      </c>
      <c r="C36" s="7" t="inlineStr">
        <is>
          <t>PIX</t>
        </is>
      </c>
      <c r="D36" s="8" t="inlineStr">
        <is>
          <t>PIX / transferencia internacional / tarjeta</t>
        </is>
      </c>
    </row>
    <row r="37" ht="24" customHeight="1">
      <c r="B37" s="6" t="inlineStr">
        <is>
          <t>Fecha del pago</t>
        </is>
      </c>
      <c r="C37" s="9" t="inlineStr"/>
    </row>
    <row r="38" ht="6" customHeight="1"/>
    <row r="39" ht="22" customHeight="1">
      <c r="B39" s="4" t="inlineStr">
        <is>
          <t>5.  KILOMETRAJE</t>
        </is>
      </c>
      <c r="C39" s="5" t="n"/>
      <c r="D39" s="5" t="n"/>
    </row>
    <row r="40" ht="24" customHeight="1">
      <c r="B40" s="6" t="inlineStr">
        <is>
          <t>Franquicia mensual</t>
        </is>
      </c>
      <c r="C40" s="7" t="inlineStr">
        <is>
          <t>3.000 km/mes</t>
        </is>
      </c>
      <c r="D40" s="8" t="inlineStr">
        <is>
          <t>Cerca de 100 km/dia - generoso para uso personal</t>
        </is>
      </c>
    </row>
    <row r="41" ht="24" customHeight="1">
      <c r="B41" s="6" t="inlineStr">
        <is>
          <t>Excedente</t>
        </is>
      </c>
      <c r="C41" s="7" t="inlineStr">
        <is>
          <t>R$ 0,50 / km</t>
        </is>
      </c>
      <c r="D41" s="8" t="inlineStr">
        <is>
          <t>Cobrado por encima del limite mensual</t>
        </is>
      </c>
    </row>
    <row r="42" ht="24" customHeight="1">
      <c r="B42" s="6" t="inlineStr">
        <is>
          <t>Uso prohibido</t>
        </is>
      </c>
      <c r="C42" s="7" t="inlineStr">
        <is>
          <t>Apps (Uber/99/InDriver), off-road, comercial, carreras</t>
        </is>
      </c>
      <c r="D42" s="8" t="inlineStr">
        <is>
          <t>Quiebre del contrato + perdida de la fianza</t>
        </is>
      </c>
    </row>
    <row r="43" ht="24" customHeight="1">
      <c r="B43" s="6" t="inlineStr">
        <is>
          <t>KM inicial (inspeccion de retiro)</t>
        </is>
      </c>
      <c r="C43" s="7" t="inlineStr"/>
      <c r="D43" s="8" t="inlineStr">
        <is>
          <t>Anotar y fotografiar el odometro</t>
        </is>
      </c>
    </row>
    <row r="44" ht="24" customHeight="1">
      <c r="B44" s="6" t="inlineStr">
        <is>
          <t>KM final (inspeccion de devolucion)</t>
        </is>
      </c>
      <c r="C44" s="7" t="inlineStr"/>
    </row>
    <row r="45" ht="6" customHeight="1"/>
    <row r="46" ht="22" customHeight="1">
      <c r="B46" s="4" t="inlineStr">
        <is>
          <t>6.  RESPONSABILIDADES DEL ARRENDATARIO</t>
        </is>
      </c>
      <c r="C46" s="5" t="n"/>
      <c r="D46" s="5" t="n"/>
    </row>
    <row r="47" ht="26" customHeight="1">
      <c r="B47" s="6" t="inlineStr">
        <is>
          <t>•  Devolver el vehiculo en las mismas condiciones (limpieza basica incluida en el contrato)</t>
        </is>
      </c>
    </row>
    <row r="48" ht="26" customHeight="1">
      <c r="B48" s="6" t="inlineStr">
        <is>
          <t>•  Combustible: devolver al mismo nivel recibido</t>
        </is>
      </c>
    </row>
    <row r="49" ht="26" customHeight="1">
      <c r="B49" s="6" t="inlineStr">
        <is>
          <t>•  Peajes y multas durante el periodo son responsabilidad del arrendatario</t>
        </is>
      </c>
    </row>
    <row r="50" ht="26" customHeight="1">
      <c r="B50" s="6" t="inlineStr">
        <is>
          <t>•  Reparaciones menores por uso normal (bombillas, pinchazos) - por cuenta del arrendatario</t>
        </is>
      </c>
    </row>
    <row r="51" ht="26" customHeight="1">
      <c r="B51" s="6" t="inlineStr">
        <is>
          <t>•  Comunicar inmediatamente accidentes, panas o robo</t>
        </is>
      </c>
    </row>
    <row r="52" ht="26" customHeight="1">
      <c r="B52" s="6" t="inlineStr">
        <is>
          <t>•  Mantener el kilometraje dentro de la franquicia (item 5)</t>
        </is>
      </c>
    </row>
    <row r="53" ht="26" customHeight="1">
      <c r="B53" s="6" t="inlineStr">
        <is>
          <t>•  No prestar el vehiculo a terceros no listados en este contrato</t>
        </is>
      </c>
    </row>
    <row r="54" ht="26" customHeight="1">
      <c r="B54" s="6" t="inlineStr">
        <is>
          <t>•  No usar el vehiculo para actividades prohibidas (item 5)</t>
        </is>
      </c>
    </row>
    <row r="55" ht="6" customHeight="1"/>
    <row r="56" ht="22" customHeight="1">
      <c r="B56" s="4" t="inlineStr">
        <is>
          <t>7.  RESPONSABILIDADES DE NOMADDRIVE / PROPIETARIO</t>
        </is>
      </c>
      <c r="C56" s="5" t="n"/>
      <c r="D56" s="5" t="n"/>
    </row>
    <row r="57" ht="26" customHeight="1">
      <c r="B57" s="6" t="inlineStr">
        <is>
          <t>•  Entregar el vehiculo en perfecto estado, con documentacion al dia (IPVA, licenciamiento, seguro)</t>
        </is>
      </c>
    </row>
    <row r="58" ht="26" customHeight="1">
      <c r="B58" s="6" t="inlineStr">
        <is>
          <t>•  Seguro con cobertura adecuada para uso en alquiler</t>
        </is>
      </c>
    </row>
    <row r="59" ht="26" customHeight="1">
      <c r="B59" s="6" t="inlineStr">
        <is>
          <t>•  Auto de respaldo en caso de pana mecanica no causada por el arrendatario</t>
        </is>
      </c>
    </row>
    <row r="60" ht="26" customHeight="1">
      <c r="B60" s="6" t="inlineStr">
        <is>
          <t>•  Soporte por WhatsApp durante todo el alquiler</t>
        </is>
      </c>
    </row>
    <row r="61" ht="26" customHeight="1">
      <c r="B61" s="6" t="inlineStr">
        <is>
          <t>•  Devolver la fianza en hasta 7 dias despues de la inspeccion final, descontando solo danos comprobados</t>
        </is>
      </c>
    </row>
    <row r="62" ht="26" customHeight="1">
      <c r="B62" s="6" t="inlineStr">
        <is>
          <t>•  Vehiculo lavado y listo - limpieza basica incluida en el contrato</t>
        </is>
      </c>
    </row>
    <row r="63" ht="6" customHeight="1"/>
    <row r="64" ht="22" customHeight="1">
      <c r="B64" s="4" t="inlineStr">
        <is>
          <t>8.  SEGURO Y SINIESTROS</t>
        </is>
      </c>
      <c r="C64" s="5" t="n"/>
      <c r="D64" s="5" t="n"/>
    </row>
    <row r="65" ht="24" customHeight="1">
      <c r="B65" s="6" t="inlineStr">
        <is>
          <t>Compania de seguros / poliza</t>
        </is>
      </c>
      <c r="C65" s="7" t="inlineStr"/>
      <c r="D65" s="8" t="inlineStr">
        <is>
          <t>Completar</t>
        </is>
      </c>
    </row>
    <row r="66" ht="24" customHeight="1">
      <c r="B66" s="6" t="inlineStr">
        <is>
          <t>Cobertura</t>
        </is>
      </c>
      <c r="C66" s="7" t="inlineStr">
        <is>
          <t>Casco, terceros, accidentes personales</t>
        </is>
      </c>
    </row>
    <row r="67" ht="24" customHeight="1">
      <c r="B67" s="6" t="inlineStr">
        <is>
          <t>Franquicia en caso de siniestro</t>
        </is>
      </c>
      <c r="C67" s="7" t="inlineStr"/>
      <c r="D67" s="8" t="inlineStr">
        <is>
          <t>Responsabilidad del arrendatario hasta este monto</t>
        </is>
      </c>
    </row>
    <row r="68" ht="24" customHeight="1">
      <c r="B68" s="6" t="inlineStr">
        <is>
          <t>En caso de accidente</t>
        </is>
      </c>
      <c r="C68" s="7" t="inlineStr">
        <is>
          <t>1) Llamar a NomadDrive  2) Reporte policial  3) Aseguradora</t>
        </is>
      </c>
    </row>
    <row r="69" ht="6" customHeight="1"/>
    <row r="70" ht="22" customHeight="1">
      <c r="B70" s="4" t="inlineStr">
        <is>
          <t>9.  MULTAS Y PENALIDADES INTERNAS (estandar del mercado)</t>
        </is>
      </c>
      <c r="C70" s="5" t="n"/>
      <c r="D70" s="5" t="n"/>
    </row>
    <row r="71" ht="24" customHeight="1">
      <c r="B71" s="6" t="inlineStr">
        <is>
          <t>Fumar en el vehiculo (cigarrillo, puro, vape)</t>
        </is>
      </c>
      <c r="C71" s="7" t="inlineStr">
        <is>
          <t>R$ 500</t>
        </is>
      </c>
      <c r="D71" s="8" t="inlineStr">
        <is>
          <t>Limpieza profunda + remocion de olor</t>
        </is>
      </c>
    </row>
    <row r="72" ht="24" customHeight="1">
      <c r="B72" s="6" t="inlineStr">
        <is>
          <t>Marihuana / drogas en el vehiculo</t>
        </is>
      </c>
      <c r="C72" s="7" t="inlineStr">
        <is>
          <t>R$ 1.000 + acciones legales</t>
        </is>
      </c>
      <c r="D72" s="8" t="inlineStr">
        <is>
          <t>Limpieza + cooperacion con autoridades</t>
        </is>
      </c>
    </row>
    <row r="73" ht="24" customHeight="1">
      <c r="B73" s="6" t="inlineStr">
        <is>
          <t>Mascota sin cubierta protectora</t>
        </is>
      </c>
      <c r="C73" s="7" t="inlineStr">
        <is>
          <t>R$ 500</t>
        </is>
      </c>
      <c r="D73" s="8" t="inlineStr">
        <is>
          <t>Limpieza + remocion de pelos</t>
        </is>
      </c>
    </row>
    <row r="74" ht="24" customHeight="1">
      <c r="B74" s="6" t="inlineStr">
        <is>
          <t>Devolucion excesivamente sucia</t>
        </is>
      </c>
      <c r="C74" s="7" t="inlineStr">
        <is>
          <t>R$ 150</t>
        </is>
      </c>
      <c r="D74" s="8" t="inlineStr">
        <is>
          <t>Mas alla de la limpieza estandar</t>
        </is>
      </c>
    </row>
    <row r="75" ht="24" customHeight="1">
      <c r="B75" s="6" t="inlineStr">
        <is>
          <t>Combustible debajo del nivel recibido</t>
        </is>
      </c>
      <c r="C75" s="7" t="inlineStr">
        <is>
          <t>Tanque lleno + R$ 100</t>
        </is>
      </c>
      <c r="D75" s="8" t="inlineStr">
        <is>
          <t>Mas practico que auditar litro por litro</t>
        </is>
      </c>
    </row>
    <row r="76" ht="24" customHeight="1">
      <c r="B76" s="6" t="inlineStr">
        <is>
          <t>Devolucion atrasada</t>
        </is>
      </c>
      <c r="C76" s="7" t="inlineStr">
        <is>
          <t>R$ 100/hora despues de 1h de tolerancia</t>
        </is>
      </c>
      <c r="D76" s="8" t="inlineStr">
        <is>
          <t>Despues de 3h: +1 dia completo</t>
        </is>
      </c>
    </row>
    <row r="77" ht="24" customHeight="1">
      <c r="B77" s="6" t="inlineStr">
        <is>
          <t>Perdida de la llave principal</t>
        </is>
      </c>
      <c r="C77" s="7" t="inlineStr">
        <is>
          <t>R$ 2.000</t>
        </is>
      </c>
      <c r="D77" s="8" t="inlineStr">
        <is>
          <t>Llave + copia + reprogramacion</t>
        </is>
      </c>
    </row>
    <row r="78" ht="24" customHeight="1">
      <c r="B78" s="6" t="inlineStr">
        <is>
          <t>Perdida del CRLV o documentos</t>
        </is>
      </c>
      <c r="C78" s="7" t="inlineStr">
        <is>
          <t>R$ 300</t>
        </is>
      </c>
      <c r="D78" s="8" t="inlineStr">
        <is>
          <t>Segunda via + tiempo administrativo</t>
        </is>
      </c>
    </row>
    <row r="79" ht="24" customHeight="1">
      <c r="B79" s="6" t="inlineStr">
        <is>
          <t>Tasa administrativa por multa de transito</t>
        </is>
      </c>
      <c r="C79" s="7" t="inlineStr">
        <is>
          <t>R$ 50 por multa</t>
        </is>
      </c>
      <c r="D79" s="8" t="inlineStr">
        <is>
          <t>Mas el valor de la propia multa</t>
        </is>
      </c>
    </row>
    <row r="80" ht="24" customHeight="1">
      <c r="B80" s="6" t="inlineStr">
        <is>
          <t>Exceso de kilometraje sobre la franquicia (item 5)</t>
        </is>
      </c>
      <c r="C80" s="7" t="inlineStr">
        <is>
          <t>R$ 0,50 / km</t>
        </is>
      </c>
      <c r="D80" s="8" t="inlineStr">
        <is>
          <t>Cobrado en la devolucion</t>
        </is>
      </c>
    </row>
    <row r="81" ht="24" customHeight="1">
      <c r="B81" s="6" t="inlineStr">
        <is>
          <t>Neumatico danado por culpa del arrendatario</t>
        </is>
      </c>
      <c r="C81" s="7" t="inlineStr">
        <is>
          <t>Neumatico + R$ 100</t>
        </is>
      </c>
      <c r="D81" s="8" t="inlineStr">
        <is>
          <t>Pinchazo por uso normal no cuenta</t>
        </is>
      </c>
    </row>
    <row r="82" ht="24" customHeight="1">
      <c r="B82" s="6" t="inlineStr">
        <is>
          <t>Siniestro con culpa del arrendatario</t>
        </is>
      </c>
      <c r="C82" s="7" t="inlineStr">
        <is>
          <t>Franquicia del seguro (item 8)</t>
        </is>
      </c>
      <c r="D82" s="8" t="inlineStr">
        <is>
          <t>Sobre la franquicia: cubre la aseguradora</t>
        </is>
      </c>
    </row>
    <row r="83" ht="24" customHeight="1">
      <c r="B83" s="6" t="inlineStr">
        <is>
          <t>Quiebre grave del contrato (uso comercial, etc.)</t>
        </is>
      </c>
      <c r="C83" s="7" t="inlineStr">
        <is>
          <t>Perdida total de la fianza + cobro de danos</t>
        </is>
      </c>
      <c r="D83" s="8" t="inlineStr">
        <is>
          <t>Mas rescision inmediata</t>
        </is>
      </c>
    </row>
    <row r="84" ht="6" customHeight="1"/>
    <row r="85" ht="22" customHeight="1">
      <c r="B85" s="4" t="inlineStr">
        <is>
          <t>10.  CLAUSULAS GENERALES</t>
        </is>
      </c>
      <c r="C85" s="5" t="n"/>
      <c r="D85" s="5" t="n"/>
    </row>
    <row r="86" ht="26" customHeight="1">
      <c r="B86" s="6" t="inlineStr">
        <is>
          <t>•  Devolucion anticipada: avisar con 48h. El valor mensual NO es proporcional, salvo acuerdo previo por escrito.</t>
        </is>
      </c>
    </row>
    <row r="87" ht="26" customHeight="1">
      <c r="B87" s="6" t="inlineStr">
        <is>
          <t>•  Prorroga: sujeta a disponibilidad, acordada por escrito (WhatsApp sirve como acuerdo).</t>
        </is>
      </c>
    </row>
    <row r="88" ht="26" customHeight="1">
      <c r="B88" s="6" t="inlineStr">
        <is>
          <t>•  Rescision por incumplimiento: inmediata, con perdida de la fianza + cobro de danos.</t>
        </is>
      </c>
    </row>
    <row r="89" ht="26" customHeight="1">
      <c r="B89" s="6" t="inlineStr">
        <is>
          <t>•  Inspeccion con fotos en el retiro y devolucion - parte integrante del contrato.</t>
        </is>
      </c>
    </row>
    <row r="90" ht="26" customHeight="1">
      <c r="B90" s="6" t="inlineStr">
        <is>
          <t>•  El vehiculo tiene rastreador GPS activo - parte de la seguridad del alquiler.</t>
        </is>
      </c>
    </row>
    <row r="91" ht="26" customHeight="1">
      <c r="B91" s="6" t="inlineStr">
        <is>
          <t>•  Jurisdiccion: Comarca de Uberlandia - MG, Brasil.</t>
        </is>
      </c>
    </row>
    <row r="92" ht="6" customHeight="1"/>
    <row r="93" ht="22" customHeight="1">
      <c r="B93" s="4" t="inlineStr">
        <is>
          <t>FIRMAS</t>
        </is>
      </c>
      <c r="C93" s="5" t="n"/>
      <c r="D93" s="5" t="n"/>
    </row>
    <row r="94" ht="24" customHeight="1">
      <c r="B94" s="13" t="inlineStr">
        <is>
          <t>Uberlandia, ____ de _________________ de ________.</t>
        </is>
      </c>
    </row>
    <row r="97">
      <c r="B97" s="14" t="inlineStr">
        <is>
          <t>_____________________________________</t>
        </is>
      </c>
      <c r="D97" s="14" t="inlineStr">
        <is>
          <t>_____________________________________</t>
        </is>
      </c>
    </row>
    <row r="98">
      <c r="B98" s="15" t="inlineStr">
        <is>
          <t>Arrendatario</t>
        </is>
      </c>
      <c r="D98" s="15" t="inlineStr">
        <is>
          <t>NomadDrive Brasil / Propietario</t>
        </is>
      </c>
    </row>
  </sheetData>
  <mergeCells count="34">
    <mergeCell ref="B60:D60"/>
    <mergeCell ref="B61:D61"/>
    <mergeCell ref="B1:D1"/>
    <mergeCell ref="B57:D57"/>
    <mergeCell ref="B88:D88"/>
    <mergeCell ref="B53:D53"/>
    <mergeCell ref="B87:D87"/>
    <mergeCell ref="B49:D49"/>
    <mergeCell ref="B2:D2"/>
    <mergeCell ref="B51:D51"/>
    <mergeCell ref="B64:D64"/>
    <mergeCell ref="B89:D89"/>
    <mergeCell ref="B94:D94"/>
    <mergeCell ref="B85:D85"/>
    <mergeCell ref="B4:D4"/>
    <mergeCell ref="B50:D50"/>
    <mergeCell ref="B62:D62"/>
    <mergeCell ref="B91:D91"/>
    <mergeCell ref="B25:D25"/>
    <mergeCell ref="B47:D47"/>
    <mergeCell ref="B54:D54"/>
    <mergeCell ref="B16:D16"/>
    <mergeCell ref="B86:D86"/>
    <mergeCell ref="B90:D90"/>
    <mergeCell ref="B59:D59"/>
    <mergeCell ref="B31:D31"/>
    <mergeCell ref="B46:D46"/>
    <mergeCell ref="B93:D93"/>
    <mergeCell ref="B56:D56"/>
    <mergeCell ref="B58:D58"/>
    <mergeCell ref="B52:D52"/>
    <mergeCell ref="B70:D70"/>
    <mergeCell ref="B39:D39"/>
    <mergeCell ref="B48:D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RECIBO DE CAUCAO  /  SECURITY DEPOSIT RECEIPT  /  RECIBO DE FIANZA</t>
        </is>
      </c>
      <c r="C1" s="2" t="n"/>
      <c r="D1" s="2" t="n"/>
    </row>
    <row r="2" ht="24" customHeight="1">
      <c r="B2" s="3" t="inlineStr">
        <is>
          <t>Documento entregue ao locatario no ato do pagamento da caucao. Tres versoes na mesma folha.</t>
        </is>
      </c>
    </row>
    <row r="4" ht="22" customHeight="1">
      <c r="B4" s="4" t="inlineStr">
        <is>
          <t>PORTUGUES</t>
        </is>
      </c>
      <c r="C4" s="5" t="n"/>
      <c r="D4" s="5" t="n"/>
    </row>
    <row r="5" ht="22" customHeight="1">
      <c r="B5" s="16" t="inlineStr">
        <is>
          <t>NomadDrive Brasil, representada por _________________________, recebeu de _________________________, CPF/Passaporte _________________, o valor de R$ _____________ (por extenso: _____________________________________), referente a CAUCAO do Contrato de Locacao Mensal no _________, com inicio em __/__/____.
A caucao sera reembolsada em ate 7 (sete) dias apos a vistoria final de devolucao, descontando apenas danos comprovados nas fotos da vistoria.
Local e data: _________________________, __/__/______.</t>
        </is>
      </c>
    </row>
    <row r="6" ht="22" customHeight="1"/>
    <row r="7" ht="22" customHeight="1"/>
    <row r="8" ht="22" customHeight="1"/>
    <row r="9" ht="22" customHeight="1"/>
    <row r="10" ht="22" customHeight="1"/>
    <row r="12">
      <c r="B12" s="14" t="inlineStr">
        <is>
          <t>_____________________________________</t>
        </is>
      </c>
      <c r="D12" s="14" t="inlineStr">
        <is>
          <t>_____________________________________</t>
        </is>
      </c>
    </row>
    <row r="13">
      <c r="B13" s="15" t="inlineStr">
        <is>
          <t>Locatario</t>
        </is>
      </c>
      <c r="D13" s="15" t="inlineStr">
        <is>
          <t>NomadDrive Brasil</t>
        </is>
      </c>
    </row>
    <row r="15" ht="22" customHeight="1">
      <c r="B15" s="4" t="inlineStr">
        <is>
          <t>ENGLISH</t>
        </is>
      </c>
      <c r="C15" s="5" t="n"/>
      <c r="D15" s="5" t="n"/>
    </row>
    <row r="16" ht="22" customHeight="1">
      <c r="B16" s="16" t="inlineStr">
        <is>
          <t>NomadDrive Brasil, represented by _________________________, acknowledges receipt from _________________________, ID/Passport _________________, of the amount of R$ _____________ (in words: _____________________________________), as SECURITY DEPOSIT for Monthly Rental Contract no. _________, starting on __/__/____.
The deposit will be refunded within 7 (seven) days after the final return inspection, deducting only damages confirmed in the inspection photos.
Place and date: _________________________, __/__/______.</t>
        </is>
      </c>
    </row>
    <row r="17" ht="22" customHeight="1"/>
    <row r="18" ht="22" customHeight="1"/>
    <row r="19" ht="22" customHeight="1"/>
    <row r="20" ht="22" customHeight="1"/>
    <row r="21" ht="22" customHeight="1"/>
    <row r="23">
      <c r="B23" s="14" t="inlineStr">
        <is>
          <t>_____________________________________</t>
        </is>
      </c>
      <c r="D23" s="14" t="inlineStr">
        <is>
          <t>_____________________________________</t>
        </is>
      </c>
    </row>
    <row r="24">
      <c r="B24" s="15" t="inlineStr">
        <is>
          <t>Renter</t>
        </is>
      </c>
      <c r="D24" s="15" t="inlineStr">
        <is>
          <t>NomadDrive Brasil</t>
        </is>
      </c>
    </row>
    <row r="26" ht="22" customHeight="1">
      <c r="B26" s="4" t="inlineStr">
        <is>
          <t>ESPANOL</t>
        </is>
      </c>
      <c r="C26" s="5" t="n"/>
      <c r="D26" s="5" t="n"/>
    </row>
    <row r="27" ht="22" customHeight="1">
      <c r="B27" s="16" t="inlineStr">
        <is>
          <t>NomadDrive Brasil, representada por _________________________, recibio de _________________________, DNI/Pasaporte _________________, la suma de R$ _____________ (en letras: _____________________________________), correspondiente a la FIANZA del Contrato de Alquiler Mensual n. _________, con inicio el __/__/____.
La fianza sera reembolsada en hasta 7 (siete) dias despues de la inspeccion final de devolucion, descontando solo danos comprobados en las fotos de la inspeccion.
Lugar y fecha: _________________________, __/__/______.</t>
        </is>
      </c>
    </row>
    <row r="28" ht="22" customHeight="1"/>
    <row r="29" ht="22" customHeight="1"/>
    <row r="30" ht="22" customHeight="1"/>
    <row r="31" ht="22" customHeight="1"/>
    <row r="32" ht="22" customHeight="1"/>
    <row r="34">
      <c r="B34" s="14" t="inlineStr">
        <is>
          <t>_____________________________________</t>
        </is>
      </c>
      <c r="D34" s="14" t="inlineStr">
        <is>
          <t>_____________________________________</t>
        </is>
      </c>
    </row>
    <row r="35">
      <c r="B35" s="15" t="inlineStr">
        <is>
          <t>Arrendatario</t>
        </is>
      </c>
      <c r="D35" s="15" t="inlineStr">
        <is>
          <t>NomadDrive Brasil</t>
        </is>
      </c>
    </row>
  </sheetData>
  <mergeCells count="8">
    <mergeCell ref="B5:D10"/>
    <mergeCell ref="B1:D1"/>
    <mergeCell ref="B4:D4"/>
    <mergeCell ref="B26:D26"/>
    <mergeCell ref="B27:D32"/>
    <mergeCell ref="B15:D15"/>
    <mergeCell ref="B16:D2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8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TERMO DE ADESAO A REDE  -  Dono do Veiculo</t>
        </is>
      </c>
      <c r="C1" s="2" t="n"/>
      <c r="D1" s="2" t="n"/>
    </row>
    <row r="2" ht="24" customHeight="1">
      <c r="B2" s="3" t="inlineStr">
        <is>
          <t>Para donos de carro que querem entrar na rede NomadDrive e gerar renda passiva.</t>
        </is>
      </c>
    </row>
    <row r="4" ht="22" customHeight="1">
      <c r="B4" s="4" t="inlineStr">
        <is>
          <t>1.  PROPRIETARIO DO VEICULO</t>
        </is>
      </c>
      <c r="C4" s="5" t="n"/>
      <c r="D4" s="5" t="n"/>
    </row>
    <row r="5" ht="24" customHeight="1">
      <c r="B5" s="6" t="inlineStr">
        <is>
          <t>Nome completo</t>
        </is>
      </c>
      <c r="C5" s="7" t="inlineStr"/>
    </row>
    <row r="6" ht="24" customHeight="1">
      <c r="B6" s="6" t="inlineStr">
        <is>
          <t>CPF / CNPJ</t>
        </is>
      </c>
      <c r="C6" s="7" t="inlineStr"/>
    </row>
    <row r="7" ht="24" customHeight="1">
      <c r="B7" s="6" t="inlineStr">
        <is>
          <t>RG / orgao emissor</t>
        </is>
      </c>
      <c r="C7" s="7" t="inlineStr"/>
    </row>
    <row r="8" ht="24" customHeight="1">
      <c r="B8" s="6" t="inlineStr">
        <is>
          <t>Endereco completo</t>
        </is>
      </c>
      <c r="C8" s="7" t="inlineStr"/>
    </row>
    <row r="9" ht="24" customHeight="1">
      <c r="B9" s="6" t="inlineStr">
        <is>
          <t>Telefone / WhatsApp</t>
        </is>
      </c>
      <c r="C9" s="7" t="inlineStr"/>
    </row>
    <row r="10" ht="24" customHeight="1">
      <c r="B10" s="6" t="inlineStr">
        <is>
          <t>E-mail</t>
        </is>
      </c>
      <c r="C10" s="7" t="inlineStr"/>
    </row>
    <row r="11" ht="24" customHeight="1">
      <c r="B11" s="6" t="inlineStr">
        <is>
          <t>PIX (chave para repasse)</t>
        </is>
      </c>
      <c r="C11" s="7" t="inlineStr"/>
      <c r="D11" s="8" t="inlineStr">
        <is>
          <t>CPF / e-mail / telefone / aleatoria</t>
        </is>
      </c>
    </row>
    <row r="12" ht="24" customHeight="1">
      <c r="B12" s="6" t="inlineStr">
        <is>
          <t>Banco / agencia / conta (alternativa)</t>
        </is>
      </c>
      <c r="C12" s="7" t="inlineStr"/>
      <c r="D12" s="8" t="inlineStr">
        <is>
          <t>Se nao usar PIX</t>
        </is>
      </c>
    </row>
    <row r="13" ht="6" customHeight="1"/>
    <row r="14" ht="22" customHeight="1">
      <c r="B14" s="4" t="inlineStr">
        <is>
          <t>2.  VEICULO QUE ENTRA NA REDE</t>
        </is>
      </c>
      <c r="C14" s="5" t="n"/>
      <c r="D14" s="5" t="n"/>
    </row>
    <row r="15" ht="24" customHeight="1">
      <c r="B15" s="6" t="inlineStr">
        <is>
          <t>Marca / Modelo / Versao</t>
        </is>
      </c>
      <c r="C15" s="7" t="inlineStr"/>
    </row>
    <row r="16" ht="24" customHeight="1">
      <c r="B16" s="6" t="inlineStr">
        <is>
          <t>Ano / Fabricacao</t>
        </is>
      </c>
      <c r="C16" s="7" t="inlineStr"/>
    </row>
    <row r="17" ht="24" customHeight="1">
      <c r="B17" s="6" t="inlineStr">
        <is>
          <t>Cor</t>
        </is>
      </c>
      <c r="C17" s="7" t="inlineStr"/>
    </row>
    <row r="18" ht="24" customHeight="1">
      <c r="B18" s="6" t="inlineStr">
        <is>
          <t>Placa</t>
        </is>
      </c>
      <c r="C18" s="7" t="inlineStr"/>
    </row>
    <row r="19" ht="24" customHeight="1">
      <c r="B19" s="6" t="inlineStr">
        <is>
          <t>Chassi</t>
        </is>
      </c>
      <c r="C19" s="7" t="inlineStr"/>
    </row>
    <row r="20" ht="24" customHeight="1">
      <c r="B20" s="6" t="inlineStr">
        <is>
          <t>Renavam</t>
        </is>
      </c>
      <c r="C20" s="7" t="inlineStr"/>
    </row>
    <row r="21" ht="24" customHeight="1">
      <c r="B21" s="6" t="inlineStr">
        <is>
          <t>Valor FIPE (R$)</t>
        </is>
      </c>
      <c r="C21" s="7" t="inlineStr"/>
      <c r="D21" s="8" t="inlineStr">
        <is>
          <t>Para calculo do preco e da reserva</t>
        </is>
      </c>
    </row>
    <row r="22" ht="24" customHeight="1">
      <c r="B22" s="6" t="inlineStr">
        <is>
          <t>KM atual</t>
        </is>
      </c>
      <c r="C22" s="7" t="inlineStr"/>
    </row>
    <row r="23" ht="24" customHeight="1">
      <c r="B23" s="6" t="inlineStr">
        <is>
          <t>Cambio (Manual / Automatico)</t>
        </is>
      </c>
      <c r="C23" s="7" t="inlineStr"/>
    </row>
    <row r="24" ht="24" customHeight="1">
      <c r="B24" s="6" t="inlineStr">
        <is>
          <t>Rastreador GPS - marca / modelo</t>
        </is>
      </c>
      <c r="C24" s="7" t="inlineStr"/>
      <c r="D24" s="8" t="inlineStr">
        <is>
          <t>EXIGIDO - todo carro da rede precisa ter</t>
        </is>
      </c>
    </row>
    <row r="25" ht="24" customHeight="1">
      <c r="B25" s="6" t="inlineStr">
        <is>
          <t>Rastreador - ID / IMEI</t>
        </is>
      </c>
      <c r="C25" s="7" t="inlineStr"/>
      <c r="D25" s="8" t="inlineStr">
        <is>
          <t>Conferir e anotar</t>
        </is>
      </c>
    </row>
    <row r="26" ht="24" customHeight="1">
      <c r="B26" s="6" t="inlineStr">
        <is>
          <t>Rastreador - plataforma de monitoramento</t>
        </is>
      </c>
      <c r="C26" s="7" t="inlineStr"/>
      <c r="D26" s="8" t="inlineStr">
        <is>
          <t>Ex: Tracksolid, Anjo Sat, Ituran</t>
        </is>
      </c>
    </row>
    <row r="27" ht="6" customHeight="1"/>
    <row r="28" ht="22" customHeight="1">
      <c r="B28" s="4" t="inlineStr">
        <is>
          <t>3.  CATEGORIA E PRECO</t>
        </is>
      </c>
      <c r="C28" s="5" t="n"/>
      <c r="D28" s="5" t="n"/>
    </row>
    <row r="29" ht="24" customHeight="1">
      <c r="B29" s="6" t="inlineStr">
        <is>
          <t>Categoria atribuida</t>
        </is>
      </c>
      <c r="C29" s="7" t="inlineStr">
        <is>
          <t>B - Confort</t>
        </is>
      </c>
      <c r="D29" s="8" t="inlineStr">
        <is>
          <t>A / B / C / D - ver site nomaddrive.com.br</t>
        </is>
      </c>
    </row>
    <row r="30" ht="24" customHeight="1">
      <c r="B30" s="6" t="inlineStr">
        <is>
          <t>Preco mensal sugerido (R$)</t>
        </is>
      </c>
      <c r="C30" s="10" t="n">
        <v>3000</v>
      </c>
      <c r="D30" s="8" t="inlineStr">
        <is>
          <t>Confirmado contra cotacao real Localiza/Movida</t>
        </is>
      </c>
    </row>
    <row r="31" ht="24" customHeight="1">
      <c r="B31" s="6" t="inlineStr">
        <is>
          <t>Disponibilidade prevista</t>
        </is>
      </c>
      <c r="C31" s="7" t="inlineStr"/>
      <c r="D31" s="8" t="inlineStr">
        <is>
          <t>Ex: 8 meses/ano</t>
        </is>
      </c>
    </row>
    <row r="32" ht="6" customHeight="1"/>
    <row r="33" ht="22" customHeight="1">
      <c r="B33" s="4" t="inlineStr">
        <is>
          <t>4.  CONDICOES COMERCIAIS</t>
        </is>
      </c>
      <c r="C33" s="5" t="n"/>
      <c r="D33" s="5" t="n"/>
    </row>
    <row r="34" ht="24" customHeight="1">
      <c r="B34" s="6" t="inlineStr">
        <is>
          <t>Comissao NomadDrive sobre cada locacao</t>
        </is>
      </c>
      <c r="C34" s="17" t="n">
        <v>0.1</v>
      </c>
      <c r="D34" s="8" t="inlineStr">
        <is>
          <t>10% do valor recebido do locatario</t>
        </is>
      </c>
    </row>
    <row r="35" ht="24" customHeight="1">
      <c r="B35" s="6" t="inlineStr">
        <is>
          <t>Repasse ao proprietario</t>
        </is>
      </c>
      <c r="C35" s="7" t="inlineStr">
        <is>
          <t>90% INTEIRO</t>
        </is>
      </c>
      <c r="D35" s="8" t="inlineStr">
        <is>
          <t>Repasse total, antes dos custos do carro (item 6)</t>
        </is>
      </c>
    </row>
    <row r="36" ht="24" customHeight="1">
      <c r="B36" s="6" t="inlineStr">
        <is>
          <t>Prazo de repasse</t>
        </is>
      </c>
      <c r="C36" s="7" t="inlineStr">
        <is>
          <t>Em ate 7 dias apos cada locacao</t>
        </is>
      </c>
    </row>
    <row r="37" ht="24" customHeight="1">
      <c r="B37" s="6" t="inlineStr">
        <is>
          <t>Forma de repasse</t>
        </is>
      </c>
      <c r="C37" s="7" t="inlineStr">
        <is>
          <t>PIX</t>
        </is>
      </c>
    </row>
    <row r="38" ht="6" customHeight="1"/>
    <row r="39" ht="22" customHeight="1">
      <c r="B39" s="4" t="inlineStr">
        <is>
          <t>5.  RESPONSABILIDADES DO PROPRIETARIO</t>
        </is>
      </c>
      <c r="C39" s="5" t="n"/>
      <c r="D39" s="5" t="n"/>
    </row>
    <row r="40" ht="26" customHeight="1">
      <c r="B40" s="6" t="inlineStr">
        <is>
          <t>•  Manter IPVA, licenciamento e seguro em dia (seguro com cobertura para locacao)</t>
        </is>
      </c>
    </row>
    <row r="41" ht="26" customHeight="1">
      <c r="B41" s="6" t="inlineStr">
        <is>
          <t>•  Realizar manutencao preventiva e revisoes no prazo</t>
        </is>
      </c>
    </row>
    <row r="42" ht="26" customHeight="1">
      <c r="B42" s="6" t="inlineStr">
        <is>
          <t>•  Aprovar previamente cada locacao (decisao final e do dono)</t>
        </is>
      </c>
    </row>
    <row r="43" ht="26" customHeight="1">
      <c r="B43" s="6" t="inlineStr">
        <is>
          <t>•  Disponibilizar o carro nos periodos confirmados</t>
        </is>
      </c>
    </row>
    <row r="44" ht="26" customHeight="1">
      <c r="B44" s="6" t="inlineStr">
        <is>
          <t>•  Informar imediatamente qualquer indisponibilidade</t>
        </is>
      </c>
    </row>
    <row r="45" ht="26" customHeight="1">
      <c r="B45" s="6" t="inlineStr">
        <is>
          <t>•  Manter o veiculo em condicoes esteticas de locacao (sem amassados, limpo, com estepe e acessorios)</t>
        </is>
      </c>
    </row>
    <row r="46" ht="26" customHeight="1">
      <c r="B46" s="6" t="inlineStr">
        <is>
          <t>•  OBRIGATORIO: rastreador GPS ativo e funcionando durante toda a locacao (exigencia da rede e da seguradora)</t>
        </is>
      </c>
    </row>
    <row r="47" ht="6" customHeight="1"/>
    <row r="48" ht="22" customHeight="1">
      <c r="B48" s="4" t="inlineStr">
        <is>
          <t>6.  IMPORTANTE - O DINHEIRO CHEGA INTEIRO, MAS RESERVE</t>
        </is>
      </c>
      <c r="C48" s="5" t="n"/>
      <c r="D48" s="5" t="n"/>
    </row>
    <row r="49" ht="30" customHeight="1">
      <c r="B49" s="18" t="inlineStr">
        <is>
          <t>•  ATENCAO: o repasse de 90% chega INTEIRO no seu PIX. Os custos do carro NAO sao descontados pela NomadDrive.</t>
        </is>
      </c>
    </row>
    <row r="50" ht="26" customHeight="1">
      <c r="B50" s="6" t="inlineStr">
        <is>
          <t>•  Reserve uma parte de cada repasse para: IPVA + licenciamento, seguro (anual), manutencao/pneus, depreciacao, imposto de renda.</t>
        </is>
      </c>
    </row>
    <row r="51" ht="26" customHeight="1">
      <c r="B51" s="6" t="inlineStr">
        <is>
          <t>•  Veja a aba 'Simulacao Repasse' para o calculo recomendado com base no seu carro (FIPE).</t>
        </is>
      </c>
    </row>
    <row r="52" ht="26" customHeight="1">
      <c r="B52" s="6" t="inlineStr">
        <is>
          <t>•  Recomendamos abrir uma conta separada so para a renda do carro - facilita controle e imposto.</t>
        </is>
      </c>
    </row>
    <row r="53" ht="6" customHeight="1"/>
    <row r="54" ht="22" customHeight="1">
      <c r="B54" s="4" t="inlineStr">
        <is>
          <t>7.  RESPONSABILIDADES DA NOMADDRIVE</t>
        </is>
      </c>
      <c r="C54" s="5" t="n"/>
      <c r="D54" s="5" t="n"/>
    </row>
    <row r="55" ht="26" customHeight="1">
      <c r="B55" s="6" t="inlineStr">
        <is>
          <t>•  Captacao, triagem e validacao dos locatarios (por indicacao)</t>
        </is>
      </c>
    </row>
    <row r="56" ht="26" customHeight="1">
      <c r="B56" s="6" t="inlineStr">
        <is>
          <t>•  Contratos, papelada, vistoria e suporte ao locatario</t>
        </is>
      </c>
    </row>
    <row r="57" ht="26" customHeight="1">
      <c r="B57" s="6" t="inlineStr">
        <is>
          <t>•  Cobertura de eventuais dores: multas, sinistros, atritos com o locatario</t>
        </is>
      </c>
    </row>
    <row r="58" ht="26" customHeight="1">
      <c r="B58" s="6" t="inlineStr">
        <is>
          <t>•  Repasse no prazo, com extrato detalhado por locacao</t>
        </is>
      </c>
    </row>
    <row r="59" ht="26" customHeight="1">
      <c r="B59" s="6" t="inlineStr">
        <is>
          <t>•  Marketing e divulgacao do veiculo na rede</t>
        </is>
      </c>
    </row>
    <row r="60" ht="6" customHeight="1"/>
    <row r="61" ht="22" customHeight="1">
      <c r="B61" s="4" t="inlineStr">
        <is>
          <t>8.  COMPROMISSO DA PLATAFORMA  -  melhor esforco</t>
        </is>
      </c>
      <c r="C61" s="5" t="n"/>
      <c r="D61" s="5" t="n"/>
    </row>
    <row r="62" ht="26" customHeight="1">
      <c r="B62" s="6" t="inlineStr">
        <is>
          <t>•  Marketing ativo em multiplos canais: site multilingue, SEO, Instagram + Reels semanais, anuncios pagos Meta com geo-targeting estrangeiro, comunidades de expats, parcerias com agencias de viagem.</t>
        </is>
      </c>
    </row>
    <row r="63" ht="26" customHeight="1">
      <c r="B63" s="6" t="inlineStr">
        <is>
          <t>•  Relatorio mensal de transparencia: leads gerados no mes, orcamentos enviados, contratos fechados pro SEU carro, tempo medio entre locacoes.</t>
        </is>
      </c>
    </row>
    <row r="64" ht="26" customHeight="1">
      <c r="B64" s="6" t="inlineStr">
        <is>
          <t>•  Fila justa: quando aparece cliente novo, o carro da rede que esta parado ha mais tempo entra primeiro - sem favoritismo, todo carro tem chance igual.</t>
        </is>
      </c>
    </row>
    <row r="65" ht="26" customHeight="1">
      <c r="B65" s="6" t="inlineStr">
        <is>
          <t>•  Suporte ao locatario 24/7 via WhatsApp - dor de cabeca operacional fica com a plataforma, voce so e acionado se for algo que so o dono resolve.</t>
        </is>
      </c>
    </row>
    <row r="66" ht="26" customHeight="1">
      <c r="B66" s="6" t="inlineStr">
        <is>
          <t>•  Burocracia toda nossa: contratos, vistoria com fotos, transferencia de multas, atrito com locatario.</t>
        </is>
      </c>
    </row>
    <row r="67" ht="26" customHeight="1">
      <c r="B67" s="6" t="inlineStr">
        <is>
          <t>•  Expectativas honestas: o simulador publico do site mostra faixas realistas de receita - sem promessa de "renda passiva magica".</t>
        </is>
      </c>
    </row>
    <row r="68" ht="30" customHeight="1">
      <c r="B68" s="18" t="inlineStr">
        <is>
          <t>•  IMPORTANTE: os compromissos acima sao de MELHOR ESFORCO, nao garantia financeira de receita minima. A renda real depende da demanda do mercado, da categoria do veiculo, da disponibilidade do dono e de fatores fora do controle da plataforma.</t>
        </is>
      </c>
    </row>
    <row r="69" ht="6" customHeight="1"/>
    <row r="70" ht="22" customHeight="1">
      <c r="B70" s="4" t="inlineStr">
        <is>
          <t>9.  RESCISAO</t>
        </is>
      </c>
      <c r="C70" s="5" t="n"/>
      <c r="D70" s="5" t="n"/>
    </row>
    <row r="71" ht="26" customHeight="1">
      <c r="B71" s="6" t="inlineStr">
        <is>
          <t>•  Saida da rede por qualquer parte com aviso de 30 dias - sem multa</t>
        </is>
      </c>
    </row>
    <row r="72" ht="26" customHeight="1">
      <c r="B72" s="6" t="inlineStr">
        <is>
          <t>•  Locacoes ja confirmadas serao honradas ate o termino</t>
        </is>
      </c>
    </row>
    <row r="73" ht="26" customHeight="1">
      <c r="B73" s="6" t="inlineStr">
        <is>
          <t>•  Em caso de descumprimento grave (uso comercial nao autorizado, fraude): rescisao imediata</t>
        </is>
      </c>
    </row>
    <row r="74" ht="6" customHeight="1"/>
    <row r="75" ht="22" customHeight="1">
      <c r="B75" s="4" t="inlineStr">
        <is>
          <t>ASSINATURAS</t>
        </is>
      </c>
      <c r="C75" s="5" t="n"/>
      <c r="D75" s="5" t="n"/>
    </row>
    <row r="76" ht="24" customHeight="1">
      <c r="B76" s="13" t="inlineStr">
        <is>
          <t>Uberlandia, ____ de _________________ de ________.</t>
        </is>
      </c>
    </row>
    <row r="79">
      <c r="B79" s="14" t="inlineStr">
        <is>
          <t>_____________________________________</t>
        </is>
      </c>
      <c r="D79" s="14" t="inlineStr">
        <is>
          <t>_____________________________________</t>
        </is>
      </c>
    </row>
    <row r="80">
      <c r="B80" s="15" t="inlineStr">
        <is>
          <t>Proprietario do veiculo</t>
        </is>
      </c>
      <c r="D80" s="15" t="inlineStr">
        <is>
          <t>NomadDrive Brasil</t>
        </is>
      </c>
    </row>
  </sheetData>
  <mergeCells count="39">
    <mergeCell ref="B42:D42"/>
    <mergeCell ref="B14:D14"/>
    <mergeCell ref="B67:D67"/>
    <mergeCell ref="B61:D61"/>
    <mergeCell ref="B1:D1"/>
    <mergeCell ref="B57:D57"/>
    <mergeCell ref="B73:D73"/>
    <mergeCell ref="B44:D44"/>
    <mergeCell ref="B28:D28"/>
    <mergeCell ref="B49:D49"/>
    <mergeCell ref="B40:D40"/>
    <mergeCell ref="B2:D2"/>
    <mergeCell ref="B65:D65"/>
    <mergeCell ref="B68:D68"/>
    <mergeCell ref="B55:D55"/>
    <mergeCell ref="B51:D51"/>
    <mergeCell ref="B64:D64"/>
    <mergeCell ref="B33:D33"/>
    <mergeCell ref="B76:D76"/>
    <mergeCell ref="B45:D45"/>
    <mergeCell ref="B63:D63"/>
    <mergeCell ref="B41:D41"/>
    <mergeCell ref="B4:D4"/>
    <mergeCell ref="B50:D50"/>
    <mergeCell ref="B62:D62"/>
    <mergeCell ref="B75:D75"/>
    <mergeCell ref="B54:D54"/>
    <mergeCell ref="B72:D72"/>
    <mergeCell ref="B59:D59"/>
    <mergeCell ref="B66:D66"/>
    <mergeCell ref="B46:D46"/>
    <mergeCell ref="B71:D71"/>
    <mergeCell ref="B56:D56"/>
    <mergeCell ref="B58:D58"/>
    <mergeCell ref="B52:D52"/>
    <mergeCell ref="B70:D70"/>
    <mergeCell ref="B43:D43"/>
    <mergeCell ref="B39:D39"/>
    <mergeCell ref="B48:D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SIMULACAO DE REPASSE E ALOCACAO  -  Dono do Veiculo</t>
        </is>
      </c>
      <c r="C1" s="2" t="n"/>
      <c r="D1" s="2" t="n"/>
    </row>
    <row r="2" ht="24" customHeight="1">
      <c r="B2" s="3" t="inlineStr">
        <is>
          <t>Preencha as celulas AMARELAS. A planilha mostra quanto chega no seu PIX e quanto reservar para custos.</t>
        </is>
      </c>
    </row>
    <row r="4" ht="22" customHeight="1">
      <c r="B4" s="4" t="inlineStr">
        <is>
          <t>A.  PREMISSAS</t>
        </is>
      </c>
      <c r="C4" s="5" t="n"/>
      <c r="D4" s="5" t="n"/>
    </row>
    <row r="5" ht="24" customHeight="1">
      <c r="B5" s="6" t="inlineStr">
        <is>
          <t>Preco mensal (R$)</t>
        </is>
      </c>
      <c r="C5" s="10" t="n">
        <v>3000</v>
      </c>
      <c r="D5" s="8" t="inlineStr">
        <is>
          <t>Quanto voce cobra por mes do locatario</t>
        </is>
      </c>
    </row>
    <row r="6" ht="24" customHeight="1">
      <c r="B6" s="6" t="inlineStr">
        <is>
          <t>Meses alugados por ano</t>
        </is>
      </c>
      <c r="C6" s="7" t="n">
        <v>8</v>
      </c>
      <c r="D6" s="8" t="inlineStr">
        <is>
          <t>Ocupacao real esperada</t>
        </is>
      </c>
    </row>
    <row r="7" ht="24" customHeight="1">
      <c r="B7" s="6" t="inlineStr">
        <is>
          <t>Comissao NomadDrive</t>
        </is>
      </c>
      <c r="C7" s="17" t="n">
        <v>0.1</v>
      </c>
      <c r="D7" s="8" t="inlineStr">
        <is>
          <t>10% padrao</t>
        </is>
      </c>
    </row>
    <row r="8" ht="24" customHeight="1">
      <c r="B8" s="6" t="inlineStr">
        <is>
          <t>Valor FIPE do veiculo</t>
        </is>
      </c>
      <c r="C8" s="10" t="n">
        <v>45000</v>
      </c>
      <c r="D8" s="8" t="inlineStr">
        <is>
          <t>Usado pra estimar custos anuais</t>
        </is>
      </c>
    </row>
    <row r="9" ht="6" customHeight="1"/>
    <row r="10" ht="22" customHeight="1">
      <c r="B10" s="4" t="inlineStr">
        <is>
          <t>B.  REPASSE TOTAL NO ANO (o que chega no PIX)</t>
        </is>
      </c>
      <c r="C10" s="5" t="n"/>
      <c r="D10" s="5" t="n"/>
    </row>
    <row r="11" ht="24" customHeight="1">
      <c r="B11" s="11" t="inlineStr">
        <is>
          <t>Receita bruta anual</t>
        </is>
      </c>
      <c r="C11" s="19">
        <f>C5*C6</f>
        <v/>
      </c>
    </row>
    <row r="12" ht="24" customHeight="1">
      <c r="B12" s="11" t="inlineStr">
        <is>
          <t>(-) Comissao NomadDrive (descontada por nos)</t>
        </is>
      </c>
      <c r="C12" s="19">
        <f>-C11*C7</f>
        <v/>
      </c>
    </row>
    <row r="13" ht="24" customHeight="1">
      <c r="B13" s="11">
        <f> REPASSE INTEIRO no ano (chega no seu PIX)</f>
        <v/>
      </c>
      <c r="C13" s="12">
        <f>C11+C12</f>
        <v/>
      </c>
      <c r="D13" s="8" t="inlineStr">
        <is>
          <t>Esse e o valor que voce recebe ao longo do ano</t>
        </is>
      </c>
    </row>
    <row r="14" ht="6" customHeight="1"/>
    <row r="15" ht="22" customHeight="1">
      <c r="B15" s="4" t="inlineStr">
        <is>
          <t>C.  RESERVA RECOMENDADA (separe assim que o PIX cair)</t>
        </is>
      </c>
      <c r="C15" s="5" t="n"/>
      <c r="D15" s="5" t="n"/>
    </row>
    <row r="16" ht="24" customHeight="1">
      <c r="B16" s="6" t="inlineStr">
        <is>
          <t>IPVA + licenciamento (% FIPE)</t>
        </is>
      </c>
      <c r="C16" s="17" t="n">
        <v>0.04</v>
      </c>
      <c r="D16" s="8" t="inlineStr">
        <is>
          <t>Em torno de 4% da FIPE no ano</t>
        </is>
      </c>
    </row>
    <row r="17" ht="24" customHeight="1">
      <c r="B17" s="11" t="inlineStr">
        <is>
          <t xml:space="preserve">  -&gt; Reserva anual para IPVA + lic.</t>
        </is>
      </c>
      <c r="C17" s="19">
        <f>C8*C16</f>
        <v/>
      </c>
    </row>
    <row r="18" ht="24" customHeight="1">
      <c r="B18" s="6" t="inlineStr">
        <is>
          <t>Seguro (% FIPE - locacao)</t>
        </is>
      </c>
      <c r="C18" s="17" t="n">
        <v>0.08</v>
      </c>
      <c r="D18" s="8" t="inlineStr">
        <is>
          <t>Seguro pra locacao e mais caro: ~8% da FIPE</t>
        </is>
      </c>
    </row>
    <row r="19" ht="24" customHeight="1">
      <c r="B19" s="11" t="inlineStr">
        <is>
          <t xml:space="preserve">  -&gt; Reserva anual para seguro</t>
        </is>
      </c>
      <c r="C19" s="19">
        <f>C8*C18</f>
        <v/>
      </c>
    </row>
    <row r="20" ht="24" customHeight="1">
      <c r="B20" s="6" t="inlineStr">
        <is>
          <t>Manutencao + pneus (% FIPE)</t>
        </is>
      </c>
      <c r="C20" s="17" t="n">
        <v>0.05</v>
      </c>
      <c r="D20" s="8" t="inlineStr">
        <is>
          <t>Revisoes, pneus, oleo, freios</t>
        </is>
      </c>
    </row>
    <row r="21" ht="24" customHeight="1">
      <c r="B21" s="11" t="inlineStr">
        <is>
          <t xml:space="preserve">  -&gt; Reserva anual para manutencao</t>
        </is>
      </c>
      <c r="C21" s="19">
        <f>C8*C20</f>
        <v/>
      </c>
    </row>
    <row r="22" ht="24" customHeight="1">
      <c r="B22" s="6" t="inlineStr">
        <is>
          <t>Depreciacao (% FIPE)</t>
        </is>
      </c>
      <c r="C22" s="17" t="n">
        <v>0.08</v>
      </c>
      <c r="D22" s="8" t="inlineStr">
        <is>
          <t>Perda de valor anual - quanto o carro vale menos</t>
        </is>
      </c>
    </row>
    <row r="23" ht="24" customHeight="1">
      <c r="B23" s="11" t="inlineStr">
        <is>
          <t xml:space="preserve">  -&gt; Reserva anual para depreciacao</t>
        </is>
      </c>
      <c r="C23" s="19">
        <f>C8*C22</f>
        <v/>
      </c>
    </row>
    <row r="24" ht="24" customHeight="1">
      <c r="B24" s="6" t="inlineStr">
        <is>
          <t>Imposto de renda (% sobre repasse)</t>
        </is>
      </c>
      <c r="C24" s="17" t="n">
        <v>0.15</v>
      </c>
      <c r="D24" s="8" t="inlineStr">
        <is>
          <t>Pessoa fisica: 15% padrao. Pode mudar com CNPJ - veja contador.</t>
        </is>
      </c>
    </row>
    <row r="25" ht="24" customHeight="1">
      <c r="B25" s="11" t="inlineStr">
        <is>
          <t xml:space="preserve">  -&gt; Reserva anual para IR</t>
        </is>
      </c>
      <c r="C25" s="19">
        <f>C13*C24</f>
        <v/>
      </c>
    </row>
    <row r="26" ht="24" customHeight="1">
      <c r="B26" s="11" t="inlineStr">
        <is>
          <t>TOTAL A RESERVAR</t>
        </is>
      </c>
      <c r="C26" s="19">
        <f>C17+C19+C21+C23+C25</f>
        <v/>
      </c>
      <c r="D26" s="8" t="inlineStr">
        <is>
          <t>Some tudo o que precisa reservar</t>
        </is>
      </c>
    </row>
    <row r="27" ht="6" customHeight="1"/>
    <row r="28" ht="22" customHeight="1">
      <c r="B28" s="4" t="inlineStr">
        <is>
          <t>D.  RESULTADO FINAL (sua renda real)</t>
        </is>
      </c>
      <c r="C28" s="5" t="n"/>
      <c r="D28" s="5" t="n"/>
    </row>
    <row r="29" ht="24" customHeight="1">
      <c r="B29" s="11" t="inlineStr">
        <is>
          <t>Repasse inteiro no ano</t>
        </is>
      </c>
      <c r="C29" s="19">
        <f>C13</f>
        <v/>
      </c>
    </row>
    <row r="30" ht="24" customHeight="1">
      <c r="B30" s="11" t="inlineStr">
        <is>
          <t>(-) Total das reservas (item C)</t>
        </is>
      </c>
      <c r="C30" s="19">
        <f>-C26</f>
        <v/>
      </c>
    </row>
    <row r="31" ht="24" customHeight="1">
      <c r="B31" s="11">
        <f> RENDA REAL ANUAL (sobra)</f>
        <v/>
      </c>
      <c r="C31" s="12">
        <f>C29+C30</f>
        <v/>
      </c>
      <c r="D31" s="8" t="inlineStr">
        <is>
          <t>Quanto sobra de fato pra voce</t>
        </is>
      </c>
    </row>
    <row r="32" ht="24" customHeight="1">
      <c r="B32" s="11" t="inlineStr">
        <is>
          <t>Renda real MENSAL media</t>
        </is>
      </c>
      <c r="C32" s="19">
        <f>C31/12</f>
        <v/>
      </c>
    </row>
    <row r="33" ht="24" customHeight="1">
      <c r="B33" s="11" t="inlineStr">
        <is>
          <t>Renda real POR MES ALUGADO</t>
        </is>
      </c>
      <c r="C33" s="19">
        <f>IF(C6=0,0,C31/C6)</f>
        <v/>
      </c>
      <c r="D33" s="8" t="inlineStr">
        <is>
          <t>Quanto sobra a cada mes que o carro foi alugado de fato</t>
        </is>
      </c>
    </row>
    <row r="34" ht="6" customHeight="1"/>
    <row r="35" ht="22" customHeight="1">
      <c r="B35" s="4" t="inlineStr">
        <is>
          <t>E.  PONTO DE EQUILIBRIO</t>
        </is>
      </c>
      <c r="C35" s="5" t="n"/>
      <c r="D35" s="5" t="n"/>
    </row>
    <row r="36" ht="24" customHeight="1">
      <c r="B36" s="11" t="inlineStr">
        <is>
          <t>Meses minimos pra cobrir os custos</t>
        </is>
      </c>
      <c r="C36" s="20">
        <f>IF(C5*(1-C7)=0,0,(C17+C19+C21+C23)/(C5*(1-C7)))</f>
        <v/>
      </c>
      <c r="D36" s="8" t="inlineStr">
        <is>
          <t>Acima disso, vira lucro real</t>
        </is>
      </c>
    </row>
    <row r="37" ht="6" customHeight="1"/>
    <row r="38" ht="22" customHeight="1">
      <c r="B38" s="21" t="inlineStr">
        <is>
          <t>AVISO: percentuais sao estimativas de mercado para um carro como o Cobalt Elite 2018 em Uberlandia-MG. Valores reais podem variar de acordo com seguradora, oficina, uso e regime tributario. Confirme com contador e corretor antes de fechar adesao.</t>
        </is>
      </c>
    </row>
    <row r="39" ht="22" customHeight="1"/>
    <row r="40" ht="22" customHeight="1"/>
  </sheetData>
  <mergeCells count="8">
    <mergeCell ref="B10:D10"/>
    <mergeCell ref="B28:D28"/>
    <mergeCell ref="B38:D40"/>
    <mergeCell ref="B1:D1"/>
    <mergeCell ref="B35:D35"/>
    <mergeCell ref="B4:D4"/>
    <mergeCell ref="B15:D15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9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50" customWidth="1" min="4" max="4"/>
  </cols>
  <sheetData>
    <row r="1" ht="30" customHeight="1">
      <c r="B1" s="1" t="inlineStr">
        <is>
          <t>VISTORIA DO VEICULO + ANEXOS  -  NomadDrive Brasil</t>
        </is>
      </c>
      <c r="C1" s="2" t="n"/>
      <c r="D1" s="2" t="n"/>
    </row>
    <row r="2" ht="24" customHeight="1">
      <c r="B2" s="3" t="inlineStr">
        <is>
          <t>Preencher na retirada E na devolucao. Fotos sao parte integrante do contrato.</t>
        </is>
      </c>
    </row>
    <row r="4" ht="22" customHeight="1">
      <c r="B4" s="4" t="inlineStr">
        <is>
          <t>A.  DADOS DA VISTORIA</t>
        </is>
      </c>
      <c r="C4" s="5" t="n"/>
      <c r="D4" s="5" t="n"/>
    </row>
    <row r="5" ht="24" customHeight="1">
      <c r="B5" s="6" t="inlineStr">
        <is>
          <t>Tipo de vistoria</t>
        </is>
      </c>
      <c r="C5" s="7" t="inlineStr">
        <is>
          <t>Retirada / Devolucao</t>
        </is>
      </c>
      <c r="D5" s="8" t="inlineStr">
        <is>
          <t>Marcar qual das duas</t>
        </is>
      </c>
    </row>
    <row r="6" ht="24" customHeight="1">
      <c r="B6" s="6" t="inlineStr">
        <is>
          <t>Data e hora</t>
        </is>
      </c>
      <c r="C6" s="7" t="inlineStr"/>
      <c r="D6" s="8" t="inlineStr">
        <is>
          <t>DD/MM/AAAA HH:MM</t>
        </is>
      </c>
    </row>
    <row r="7" ht="24" customHeight="1">
      <c r="B7" s="6" t="inlineStr">
        <is>
          <t>Local</t>
        </is>
      </c>
      <c r="C7" s="7" t="inlineStr"/>
    </row>
    <row r="8" ht="24" customHeight="1">
      <c r="B8" s="6" t="inlineStr">
        <is>
          <t>Quilometragem (odometro)</t>
        </is>
      </c>
      <c r="C8" s="7" t="inlineStr"/>
      <c r="D8" s="8" t="inlineStr">
        <is>
          <t>Fotografar o painel</t>
        </is>
      </c>
    </row>
    <row r="9" ht="24" customHeight="1">
      <c r="B9" s="6" t="inlineStr">
        <is>
          <t>Nivel de combustivel</t>
        </is>
      </c>
      <c r="C9" s="7" t="inlineStr"/>
      <c r="D9" s="8" t="inlineStr">
        <is>
          <t>Cheio / 3/4 / 1/2 / 1/4 / Reserva</t>
        </is>
      </c>
    </row>
    <row r="10" ht="24" customHeight="1">
      <c r="B10" s="6" t="inlineStr">
        <is>
          <t>Vistoriador (representante NomadDrive)</t>
        </is>
      </c>
      <c r="C10" s="7" t="inlineStr"/>
    </row>
    <row r="11" ht="24" customHeight="1">
      <c r="B11" s="6" t="inlineStr">
        <is>
          <t>Locatario presente?</t>
        </is>
      </c>
      <c r="C11" s="7" t="inlineStr">
        <is>
          <t>Sim / Nao</t>
        </is>
      </c>
    </row>
    <row r="12" ht="6" customHeight="1"/>
    <row r="13" ht="22" customHeight="1">
      <c r="B13" s="4" t="inlineStr">
        <is>
          <t>B.  PARTE EXTERNA  -  estado e danos pre-existentes</t>
        </is>
      </c>
      <c r="C13" s="5" t="n"/>
      <c r="D13" s="5" t="n"/>
    </row>
    <row r="14" ht="24" customHeight="1">
      <c r="B14" s="6" t="inlineStr">
        <is>
          <t>Parachoque dianteiro</t>
        </is>
      </c>
      <c r="C14" s="7" t="inlineStr">
        <is>
          <t>OK / risco / amassado / outro</t>
        </is>
      </c>
      <c r="D14" s="8" t="inlineStr">
        <is>
          <t>Descrever + numero da foto</t>
        </is>
      </c>
    </row>
    <row r="15" ht="24" customHeight="1">
      <c r="B15" s="6" t="inlineStr">
        <is>
          <t>Capo / frente</t>
        </is>
      </c>
      <c r="C15" s="7" t="inlineStr">
        <is>
          <t>OK / risco / amassado / outro</t>
        </is>
      </c>
      <c r="D15" s="8" t="inlineStr">
        <is>
          <t>Descrever + numero da foto</t>
        </is>
      </c>
    </row>
    <row r="16" ht="24" customHeight="1">
      <c r="B16" s="6" t="inlineStr">
        <is>
          <t>Lateral direita - porta dianteira</t>
        </is>
      </c>
      <c r="C16" s="7" t="inlineStr">
        <is>
          <t>OK / risco / amassado / outro</t>
        </is>
      </c>
      <c r="D16" s="8" t="inlineStr">
        <is>
          <t>Descrever + numero da foto</t>
        </is>
      </c>
    </row>
    <row r="17" ht="24" customHeight="1">
      <c r="B17" s="6" t="inlineStr">
        <is>
          <t>Lateral direita - porta traseira</t>
        </is>
      </c>
      <c r="C17" s="7" t="inlineStr">
        <is>
          <t>OK / risco / amassado / outro</t>
        </is>
      </c>
      <c r="D17" s="8" t="inlineStr">
        <is>
          <t>Descrever + numero da foto</t>
        </is>
      </c>
    </row>
    <row r="18" ht="24" customHeight="1">
      <c r="B18" s="6" t="inlineStr">
        <is>
          <t>Lateral esquerda - porta dianteira</t>
        </is>
      </c>
      <c r="C18" s="7" t="inlineStr">
        <is>
          <t>OK / risco / amassado / outro</t>
        </is>
      </c>
      <c r="D18" s="8" t="inlineStr">
        <is>
          <t>Descrever + numero da foto</t>
        </is>
      </c>
    </row>
    <row r="19" ht="24" customHeight="1">
      <c r="B19" s="6" t="inlineStr">
        <is>
          <t>Lateral esquerda - porta traseira</t>
        </is>
      </c>
      <c r="C19" s="7" t="inlineStr">
        <is>
          <t>OK / risco / amassado / outro</t>
        </is>
      </c>
      <c r="D19" s="8" t="inlineStr">
        <is>
          <t>Descrever + numero da foto</t>
        </is>
      </c>
    </row>
    <row r="20" ht="24" customHeight="1">
      <c r="B20" s="6" t="inlineStr">
        <is>
          <t>Tampa do porta-malas / traseira</t>
        </is>
      </c>
      <c r="C20" s="7" t="inlineStr">
        <is>
          <t>OK / risco / amassado / outro</t>
        </is>
      </c>
      <c r="D20" s="8" t="inlineStr">
        <is>
          <t>Descrever + numero da foto</t>
        </is>
      </c>
    </row>
    <row r="21" ht="24" customHeight="1">
      <c r="B21" s="6" t="inlineStr">
        <is>
          <t>Parachoque traseiro</t>
        </is>
      </c>
      <c r="C21" s="7" t="inlineStr">
        <is>
          <t>OK / risco / amassado / outro</t>
        </is>
      </c>
      <c r="D21" s="8" t="inlineStr">
        <is>
          <t>Descrever + numero da foto</t>
        </is>
      </c>
    </row>
    <row r="22" ht="24" customHeight="1">
      <c r="B22" s="6" t="inlineStr">
        <is>
          <t>Teto</t>
        </is>
      </c>
      <c r="C22" s="7" t="inlineStr">
        <is>
          <t>OK / risco / amassado / outro</t>
        </is>
      </c>
      <c r="D22" s="8" t="inlineStr">
        <is>
          <t>Descrever + numero da foto</t>
        </is>
      </c>
    </row>
    <row r="23" ht="24" customHeight="1">
      <c r="B23" s="6" t="inlineStr">
        <is>
          <t>Vidros (parabrisa + laterais + traseiro)</t>
        </is>
      </c>
      <c r="C23" s="7" t="inlineStr">
        <is>
          <t>OK / risco / amassado / outro</t>
        </is>
      </c>
      <c r="D23" s="8" t="inlineStr">
        <is>
          <t>Descrever + numero da foto</t>
        </is>
      </c>
    </row>
    <row r="24" ht="24" customHeight="1">
      <c r="B24" s="6" t="inlineStr">
        <is>
          <t>Farois e lanternas</t>
        </is>
      </c>
      <c r="C24" s="7" t="inlineStr">
        <is>
          <t>OK / risco / amassado / outro</t>
        </is>
      </c>
      <c r="D24" s="8" t="inlineStr">
        <is>
          <t>Descrever + numero da foto</t>
        </is>
      </c>
    </row>
    <row r="25" ht="24" customHeight="1">
      <c r="B25" s="6" t="inlineStr">
        <is>
          <t>Retrovisores</t>
        </is>
      </c>
      <c r="C25" s="7" t="inlineStr">
        <is>
          <t>OK / risco / amassado / outro</t>
        </is>
      </c>
      <c r="D25" s="8" t="inlineStr">
        <is>
          <t>Descrever + numero da foto</t>
        </is>
      </c>
    </row>
    <row r="26" ht="24" customHeight="1">
      <c r="B26" s="6" t="inlineStr">
        <is>
          <t>Rodas e pneus (4 + estepe)</t>
        </is>
      </c>
      <c r="C26" s="7" t="inlineStr">
        <is>
          <t>OK / risco / amassado / outro</t>
        </is>
      </c>
      <c r="D26" s="8" t="inlineStr">
        <is>
          <t>Descrever + numero da foto</t>
        </is>
      </c>
    </row>
    <row r="27" ht="6" customHeight="1"/>
    <row r="28" ht="22" customHeight="1">
      <c r="B28" s="4" t="inlineStr">
        <is>
          <t>C.  PARTE INTERNA  -  estado</t>
        </is>
      </c>
      <c r="C28" s="5" t="n"/>
      <c r="D28" s="5" t="n"/>
    </row>
    <row r="29" ht="24" customHeight="1">
      <c r="B29" s="6" t="inlineStr">
        <is>
          <t>Painel, odometro e indicadores</t>
        </is>
      </c>
      <c r="C29" s="7" t="inlineStr">
        <is>
          <t>OK / observacao</t>
        </is>
      </c>
    </row>
    <row r="30" ht="24" customHeight="1">
      <c r="B30" s="6" t="inlineStr">
        <is>
          <t>Volante</t>
        </is>
      </c>
      <c r="C30" s="7" t="inlineStr">
        <is>
          <t>OK / observacao</t>
        </is>
      </c>
    </row>
    <row r="31" ht="24" customHeight="1">
      <c r="B31" s="6" t="inlineStr">
        <is>
          <t>Bancos dianteiros</t>
        </is>
      </c>
      <c r="C31" s="7" t="inlineStr">
        <is>
          <t>OK / observacao</t>
        </is>
      </c>
    </row>
    <row r="32" ht="24" customHeight="1">
      <c r="B32" s="6" t="inlineStr">
        <is>
          <t>Bancos traseiros</t>
        </is>
      </c>
      <c r="C32" s="7" t="inlineStr">
        <is>
          <t>OK / observacao</t>
        </is>
      </c>
    </row>
    <row r="33" ht="24" customHeight="1">
      <c r="B33" s="6" t="inlineStr">
        <is>
          <t>Carpete / tapetes</t>
        </is>
      </c>
      <c r="C33" s="7" t="inlineStr">
        <is>
          <t>OK / observacao</t>
        </is>
      </c>
    </row>
    <row r="34" ht="24" customHeight="1">
      <c r="B34" s="6" t="inlineStr">
        <is>
          <t>Teto interno</t>
        </is>
      </c>
      <c r="C34" s="7" t="inlineStr">
        <is>
          <t>OK / observacao</t>
        </is>
      </c>
    </row>
    <row r="35" ht="24" customHeight="1">
      <c r="B35" s="6" t="inlineStr">
        <is>
          <t>Porta-malas (interno + tapete)</t>
        </is>
      </c>
      <c r="C35" s="7" t="inlineStr">
        <is>
          <t>OK / observacao</t>
        </is>
      </c>
    </row>
    <row r="36" ht="24" customHeight="1">
      <c r="B36" s="6" t="inlineStr">
        <is>
          <t>Ar condicionado (testar)</t>
        </is>
      </c>
      <c r="C36" s="7" t="inlineStr">
        <is>
          <t>OK / observacao</t>
        </is>
      </c>
    </row>
    <row r="37" ht="24" customHeight="1">
      <c r="B37" s="6" t="inlineStr">
        <is>
          <t>Multimidia / radio (testar)</t>
        </is>
      </c>
      <c r="C37" s="7" t="inlineStr">
        <is>
          <t>OK / observacao</t>
        </is>
      </c>
    </row>
    <row r="38" ht="24" customHeight="1">
      <c r="B38" s="6" t="inlineStr">
        <is>
          <t>Vidros eletricos (testar)</t>
        </is>
      </c>
      <c r="C38" s="7" t="inlineStr">
        <is>
          <t>OK / observacao</t>
        </is>
      </c>
    </row>
    <row r="39" ht="24" customHeight="1">
      <c r="B39" s="6" t="inlineStr">
        <is>
          <t>Travas / chave reserva</t>
        </is>
      </c>
      <c r="C39" s="7" t="inlineStr">
        <is>
          <t>OK / observacao</t>
        </is>
      </c>
    </row>
    <row r="40" ht="6" customHeight="1"/>
    <row r="41" ht="22" customHeight="1">
      <c r="B41" s="4" t="inlineStr">
        <is>
          <t>D.  ACESSORIOS ENTREGUES</t>
        </is>
      </c>
      <c r="C41" s="5" t="n"/>
      <c r="D41" s="5" t="n"/>
    </row>
    <row r="42" ht="24" customHeight="1">
      <c r="B42" s="6" t="inlineStr">
        <is>
          <t>Estepe</t>
        </is>
      </c>
      <c r="C42" s="7" t="inlineStr">
        <is>
          <t>Sim / Nao</t>
        </is>
      </c>
    </row>
    <row r="43" ht="24" customHeight="1">
      <c r="B43" s="6" t="inlineStr">
        <is>
          <t>Macaco</t>
        </is>
      </c>
      <c r="C43" s="7" t="inlineStr">
        <is>
          <t>Sim / Nao</t>
        </is>
      </c>
    </row>
    <row r="44" ht="24" customHeight="1">
      <c r="B44" s="6" t="inlineStr">
        <is>
          <t>Chave de roda</t>
        </is>
      </c>
      <c r="C44" s="7" t="inlineStr">
        <is>
          <t>Sim / Nao</t>
        </is>
      </c>
    </row>
    <row r="45" ht="24" customHeight="1">
      <c r="B45" s="6" t="inlineStr">
        <is>
          <t>Triangulo</t>
        </is>
      </c>
      <c r="C45" s="7" t="inlineStr">
        <is>
          <t>Sim / Nao</t>
        </is>
      </c>
    </row>
    <row r="46" ht="24" customHeight="1">
      <c r="B46" s="6" t="inlineStr">
        <is>
          <t>Extintor (se aplicavel)</t>
        </is>
      </c>
      <c r="C46" s="7" t="inlineStr">
        <is>
          <t>Sim / Nao</t>
        </is>
      </c>
    </row>
    <row r="47" ht="24" customHeight="1">
      <c r="B47" s="6" t="inlineStr">
        <is>
          <t>Manual do proprietario</t>
        </is>
      </c>
      <c r="C47" s="7" t="inlineStr">
        <is>
          <t>Sim / Nao</t>
        </is>
      </c>
    </row>
    <row r="48" ht="24" customHeight="1">
      <c r="B48" s="6" t="inlineStr">
        <is>
          <t>CRLV (no porta-luvas ou digital)</t>
        </is>
      </c>
      <c r="C48" s="7" t="inlineStr">
        <is>
          <t>Sim / Nao</t>
        </is>
      </c>
    </row>
    <row r="49" ht="24" customHeight="1">
      <c r="B49" s="6" t="inlineStr">
        <is>
          <t>Cabo carregador / suporte de celular</t>
        </is>
      </c>
      <c r="C49" s="7" t="inlineStr">
        <is>
          <t>Sim / Nao</t>
        </is>
      </c>
    </row>
    <row r="50" ht="24" customHeight="1">
      <c r="B50" s="6" t="inlineStr">
        <is>
          <t>Cadeirinha / booster (se acordado)</t>
        </is>
      </c>
      <c r="C50" s="7" t="inlineStr">
        <is>
          <t>Sim / Nao</t>
        </is>
      </c>
    </row>
    <row r="51" ht="24" customHeight="1">
      <c r="B51" s="6" t="inlineStr">
        <is>
          <t>Outros (descrever)</t>
        </is>
      </c>
      <c r="C51" s="7" t="inlineStr">
        <is>
          <t>Sim / Nao</t>
        </is>
      </c>
    </row>
    <row r="52" ht="6" customHeight="1"/>
    <row r="53" ht="22" customHeight="1">
      <c r="B53" s="4" t="inlineStr">
        <is>
          <t>E.  FOTOS OBRIGATORIAS  -  numerar e anexar</t>
        </is>
      </c>
      <c r="C53" s="5" t="n"/>
      <c r="D53" s="5" t="n"/>
    </row>
    <row r="54" ht="26" customHeight="1">
      <c r="B54" s="6" t="inlineStr">
        <is>
          <t>•  1) Frente do carro (veiculo inteiro)</t>
        </is>
      </c>
    </row>
    <row r="55" ht="26" customHeight="1">
      <c r="B55" s="6" t="inlineStr">
        <is>
          <t>•  2) Traseira (veiculo inteiro)</t>
        </is>
      </c>
    </row>
    <row r="56" ht="26" customHeight="1">
      <c r="B56" s="6" t="inlineStr">
        <is>
          <t>•  3) Lateral direita</t>
        </is>
      </c>
    </row>
    <row r="57" ht="26" customHeight="1">
      <c r="B57" s="6" t="inlineStr">
        <is>
          <t>•  4) Lateral esquerda</t>
        </is>
      </c>
    </row>
    <row r="58" ht="26" customHeight="1">
      <c r="B58" s="6" t="inlineStr">
        <is>
          <t>•  5) Painel + odometro (KM legivel)</t>
        </is>
      </c>
    </row>
    <row r="59" ht="26" customHeight="1">
      <c r="B59" s="6" t="inlineStr">
        <is>
          <t>•  6) Marcador de combustivel</t>
        </is>
      </c>
    </row>
    <row r="60" ht="26" customHeight="1">
      <c r="B60" s="6" t="inlineStr">
        <is>
          <t>•  7) Interior - bancos dianteiros</t>
        </is>
      </c>
    </row>
    <row r="61" ht="26" customHeight="1">
      <c r="B61" s="6" t="inlineStr">
        <is>
          <t>•  8) Interior - bancos traseiros</t>
        </is>
      </c>
    </row>
    <row r="62" ht="26" customHeight="1">
      <c r="B62" s="6" t="inlineStr">
        <is>
          <t>•  9) Porta-malas aberto</t>
        </is>
      </c>
    </row>
    <row r="63" ht="26" customHeight="1">
      <c r="B63" s="6" t="inlineStr">
        <is>
          <t>•  10) Pneus + estepe (close)</t>
        </is>
      </c>
    </row>
    <row r="64" ht="26" customHeight="1">
      <c r="B64" s="6" t="inlineStr">
        <is>
          <t>•  11+) Cada dano pre-existente em close</t>
        </is>
      </c>
    </row>
    <row r="65" ht="26" customHeight="1">
      <c r="B65" s="6" t="inlineStr">
        <is>
          <t>•  DICA: ative data/hora nas fotos do celular. Mande tudo num album do WhatsApp ou drive. Vale tambem video curto de 1 min girando ao redor do carro.</t>
        </is>
      </c>
    </row>
    <row r="66" ht="6" customHeight="1"/>
    <row r="67" ht="22" customHeight="1">
      <c r="B67" s="4" t="inlineStr">
        <is>
          <t>F.  ASSINATURAS DA VISTORIA</t>
        </is>
      </c>
      <c r="C67" s="5" t="n"/>
      <c r="D67" s="5" t="n"/>
    </row>
    <row r="68" ht="36" customHeight="1">
      <c r="B68" s="22" t="inlineStr">
        <is>
          <t>Declaro que o veiculo foi vistoriado conforme acima na minha presenca e que as fotos anexadas refletem fielmente o estado do veiculo neste momento.</t>
        </is>
      </c>
    </row>
    <row r="70">
      <c r="B70" s="14" t="inlineStr">
        <is>
          <t>_____________________________________</t>
        </is>
      </c>
      <c r="D70" s="14" t="inlineStr">
        <is>
          <t>_____________________________________</t>
        </is>
      </c>
    </row>
    <row r="71">
      <c r="B71" s="15" t="inlineStr">
        <is>
          <t>Locatario</t>
        </is>
      </c>
      <c r="D71" s="15" t="inlineStr">
        <is>
          <t>NomadDrive / Vistoriador</t>
        </is>
      </c>
    </row>
    <row r="73" ht="22" customHeight="1">
      <c r="B73" s="4" t="inlineStr">
        <is>
          <t>ANEXO 1  -  LGPD  -  Termo de uso de dados pessoais</t>
        </is>
      </c>
      <c r="C73" s="5" t="n"/>
      <c r="D73" s="5" t="n"/>
    </row>
    <row r="74" ht="22" customHeight="1">
      <c r="B74" s="16" t="inlineStr">
        <is>
          <t>Em cumprimento a Lei Geral de Protecao de Dados (Lei 13.709/2018), informamos:
1) DADOS COLETADOS: nome, documentos (CPF/passaporte, CNH), endereco, contato (telefone, e-mail, WhatsApp), fotos do veiculo na vistoria, dados de pagamento e historico da locacao.
2) FINALIDADE: executar o contrato de locacao, cumprir obrigacoes legais (fisco, transferencia de multas e pedagios), manter comunicacao durante a locacao e emitir comprovantes.
3) COMPARTILHAMENTO: somente com o proprietario do veiculo, a seguradora, orgaos de transito (em caso de multa) e Receita Federal (obrigacoes fiscais). Nao vendemos nem alugamos seus dados.
4) RETENCAO: mantidos pelo prazo legal (em geral 5 anos apos o fim do contrato, para fins fiscais).
5) SEUS DIREITOS (Art. 18 LGPD): acesso, correcao, anonimizacao, eliminacao e portabilidade. Para exercer, envie um WhatsApp ou e-mail para os contatos no rodape do contrato.
Ao assinar este contrato, o locatario declara estar ciente e de acordo com este tratamento de dados.</t>
        </is>
      </c>
    </row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3" ht="22" customHeight="1">
      <c r="B83" s="4" t="inlineStr">
        <is>
          <t>ANEXO 2  -  Politica de cancelamento</t>
        </is>
      </c>
      <c r="C83" s="5" t="n"/>
      <c r="D83" s="5" t="n"/>
    </row>
    <row r="84" ht="24" customHeight="1">
      <c r="B84" s="6" t="inlineStr">
        <is>
          <t>Locatario cancela 48h+ antes da retirada</t>
        </is>
      </c>
      <c r="C84" s="7" t="inlineStr">
        <is>
          <t>Reembolso de 80%</t>
        </is>
      </c>
      <c r="D84" s="8" t="inlineStr">
        <is>
          <t>Retencao de 20% por custos administrativos</t>
        </is>
      </c>
    </row>
    <row r="85" ht="24" customHeight="1">
      <c r="B85" s="6" t="inlineStr">
        <is>
          <t>Locatario cancela entre 48h e 24h antes</t>
        </is>
      </c>
      <c r="C85" s="7" t="inlineStr">
        <is>
          <t>Reembolso de 50%</t>
        </is>
      </c>
    </row>
    <row r="86" ht="24" customHeight="1">
      <c r="B86" s="6" t="inlineStr">
        <is>
          <t>Locatario cancela em menos de 24h</t>
        </is>
      </c>
      <c r="C86" s="7" t="inlineStr">
        <is>
          <t>Sem reembolso</t>
        </is>
      </c>
    </row>
    <row r="87" ht="24" customHeight="1">
      <c r="B87" s="6" t="inlineStr">
        <is>
          <t>Locatario nao aparece (no-show)</t>
        </is>
      </c>
      <c r="C87" s="7" t="inlineStr">
        <is>
          <t>Sem reembolso</t>
        </is>
      </c>
    </row>
    <row r="88" ht="24" customHeight="1">
      <c r="B88" s="6" t="inlineStr">
        <is>
          <t>NomadDrive cancela (carro indisponivel)</t>
        </is>
      </c>
      <c r="C88" s="7" t="inlineStr">
        <is>
          <t>Reembolso de 100% + tentativa de carro reserva/similar</t>
        </is>
      </c>
    </row>
    <row r="89" ht="24" customHeight="1">
      <c r="B89" s="6" t="inlineStr">
        <is>
          <t>Pane mecanica DURANTE a locacao</t>
        </is>
      </c>
      <c r="C89" s="7" t="inlineStr">
        <is>
          <t>Carro reserva imediato OU desconto proporcional dos dias parados</t>
        </is>
      </c>
      <c r="D89" s="8" t="inlineStr">
        <is>
          <t>Sem culpa do locatario</t>
        </is>
      </c>
    </row>
    <row r="90" ht="24" customHeight="1">
      <c r="B90" s="6" t="inlineStr">
        <is>
          <t>Devolucao antecipada pelo locatario</t>
        </is>
      </c>
      <c r="C90" s="7" t="inlineStr">
        <is>
          <t>Valor mensal NAO e proporcional, salvo acordo previo por escrito</t>
        </is>
      </c>
    </row>
    <row r="91" ht="6" customHeight="1"/>
    <row r="92" ht="26" customHeight="1">
      <c r="B92" s="6" t="inlineStr">
        <is>
          <t>•  CAUCAO: devolvida em ate 7 dias apos a vistoria de devolucao, descontando apenas danos comprovados em fotos da vistoria.</t>
        </is>
      </c>
    </row>
  </sheetData>
  <mergeCells count="25">
    <mergeCell ref="B60:D60"/>
    <mergeCell ref="B67:D67"/>
    <mergeCell ref="B61:D61"/>
    <mergeCell ref="B1:D1"/>
    <mergeCell ref="B57:D57"/>
    <mergeCell ref="B73:D73"/>
    <mergeCell ref="B13:D13"/>
    <mergeCell ref="B53:D53"/>
    <mergeCell ref="B28:D28"/>
    <mergeCell ref="B74:D81"/>
    <mergeCell ref="B92:D92"/>
    <mergeCell ref="B65:D65"/>
    <mergeCell ref="B68:D68"/>
    <mergeCell ref="B83:D83"/>
    <mergeCell ref="B55:D55"/>
    <mergeCell ref="B64:D64"/>
    <mergeCell ref="B63:D63"/>
    <mergeCell ref="B41:D41"/>
    <mergeCell ref="B4:D4"/>
    <mergeCell ref="B62:D62"/>
    <mergeCell ref="B54:D54"/>
    <mergeCell ref="B59:D59"/>
    <mergeCell ref="B56:D56"/>
    <mergeCell ref="B58:D5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2026-05-15T19:34:34Z</dcterms:created>
  <dcterms:modified xsi:type="dcterms:W3CDTF">2026-05-15T19:34:34Z</dcterms:modified>
</cp:coreProperties>
</file>